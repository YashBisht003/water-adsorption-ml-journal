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Yash Bisht\PycharmProjects\waterresearchpaper\"/>
    </mc:Choice>
  </mc:AlternateContent>
  <xr:revisionPtr revIDLastSave="0" documentId="13_ncr:1_{9BE9BA5F-49B2-4986-9AC8-9432F061D5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C295" i="1" l="1"/>
  <c r="C294" i="1"/>
  <c r="C293" i="1"/>
  <c r="C292" i="1"/>
  <c r="C291" i="1"/>
  <c r="C274" i="1"/>
  <c r="C273" i="1"/>
  <c r="C272" i="1"/>
  <c r="C271" i="1"/>
  <c r="C266" i="1"/>
  <c r="C265" i="1"/>
  <c r="C262" i="1"/>
  <c r="C261" i="1"/>
  <c r="C257" i="1"/>
  <c r="C253" i="1"/>
  <c r="C250" i="1"/>
  <c r="C247" i="1"/>
  <c r="C246" i="1"/>
  <c r="C241" i="1"/>
  <c r="C239" i="1"/>
  <c r="C238" i="1"/>
  <c r="C237" i="1"/>
  <c r="C235" i="1"/>
  <c r="C234" i="1"/>
  <c r="C224" i="1"/>
  <c r="C221" i="1"/>
  <c r="C219" i="1"/>
  <c r="C218" i="1"/>
  <c r="C217" i="1"/>
  <c r="C216" i="1"/>
  <c r="C215" i="1"/>
  <c r="C214" i="1"/>
  <c r="C213" i="1"/>
  <c r="C212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E169" i="1"/>
  <c r="C169" i="1"/>
  <c r="C168" i="1"/>
  <c r="C167" i="1"/>
  <c r="C166" i="1"/>
  <c r="C165" i="1"/>
  <c r="C164" i="1"/>
  <c r="C163" i="1"/>
  <c r="E162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D131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89" i="1"/>
  <c r="C86" i="1"/>
  <c r="C83" i="1"/>
  <c r="H82" i="1"/>
  <c r="D81" i="1"/>
  <c r="C81" i="1"/>
  <c r="C80" i="1"/>
  <c r="C79" i="1"/>
  <c r="C78" i="1"/>
  <c r="D77" i="1"/>
  <c r="C77" i="1"/>
  <c r="D76" i="1"/>
  <c r="C76" i="1"/>
  <c r="D75" i="1"/>
  <c r="C75" i="1"/>
  <c r="C74" i="1"/>
  <c r="C73" i="1"/>
  <c r="D72" i="1"/>
  <c r="C72" i="1"/>
  <c r="C71" i="1"/>
  <c r="C70" i="1"/>
  <c r="C69" i="1"/>
  <c r="C68" i="1"/>
  <c r="C67" i="1"/>
  <c r="D66" i="1"/>
  <c r="C66" i="1"/>
  <c r="C65" i="1"/>
  <c r="C64" i="1"/>
  <c r="D63" i="1"/>
  <c r="C63" i="1"/>
  <c r="C62" i="1"/>
  <c r="C61" i="1"/>
  <c r="C60" i="1"/>
  <c r="D59" i="1"/>
  <c r="C59" i="1"/>
  <c r="C58" i="1"/>
  <c r="C57" i="1"/>
  <c r="C56" i="1"/>
  <c r="C55" i="1"/>
  <c r="C54" i="1"/>
  <c r="D53" i="1"/>
  <c r="C53" i="1"/>
  <c r="C52" i="1"/>
  <c r="C51" i="1"/>
  <c r="C50" i="1"/>
  <c r="C49" i="1"/>
  <c r="D48" i="1"/>
  <c r="C48" i="1"/>
  <c r="C46" i="1"/>
  <c r="D45" i="1"/>
  <c r="C45" i="1"/>
  <c r="C43" i="1"/>
  <c r="C42" i="1"/>
  <c r="C41" i="1"/>
  <c r="C40" i="1"/>
  <c r="D39" i="1"/>
  <c r="C39" i="1"/>
  <c r="C38" i="1"/>
  <c r="C37" i="1"/>
  <c r="C35" i="1"/>
  <c r="C34" i="1"/>
  <c r="C33" i="1"/>
  <c r="C32" i="1"/>
  <c r="C31" i="1"/>
  <c r="C29" i="1"/>
  <c r="C28" i="1"/>
  <c r="C27" i="1"/>
  <c r="D26" i="1"/>
  <c r="C26" i="1"/>
  <c r="C25" i="1"/>
  <c r="C24" i="1"/>
  <c r="C23" i="1"/>
  <c r="C22" i="1"/>
  <c r="C21" i="1"/>
  <c r="C20" i="1"/>
  <c r="C19" i="1"/>
  <c r="C18" i="1"/>
  <c r="D17" i="1"/>
  <c r="C17" i="1"/>
  <c r="C16" i="1"/>
  <c r="C15" i="1"/>
  <c r="C14" i="1"/>
  <c r="C13" i="1"/>
  <c r="C12" i="1"/>
  <c r="D11" i="1"/>
  <c r="C11" i="1"/>
  <c r="D10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<sst xmlns="http://schemas.openxmlformats.org/spreadsheetml/2006/main" count="2247" uniqueCount="882">
  <si>
    <t>Adsorbent</t>
  </si>
  <si>
    <t>Adsorbate</t>
  </si>
  <si>
    <t>Surface area(m2/g)</t>
  </si>
  <si>
    <t>Adsorption capacity(mg/g)</t>
  </si>
  <si>
    <t>Intial Concentration(ppm)</t>
  </si>
  <si>
    <t>RE (%)</t>
  </si>
  <si>
    <t>Contact Time (min.)</t>
  </si>
  <si>
    <t>Dose(g/L)</t>
  </si>
  <si>
    <t>RPM</t>
  </si>
  <si>
    <t>Initial pH</t>
  </si>
  <si>
    <t>T(K)</t>
  </si>
  <si>
    <t>Ref.</t>
  </si>
  <si>
    <t>Graphene oxide based inverse spinel nickel ferrite composite</t>
  </si>
  <si>
    <t>Cr3+</t>
  </si>
  <si>
    <t>Lingamdinne et al. (2015)</t>
  </si>
  <si>
    <t>https://doi.org/10.1016/j.hydromet.2015.11.005</t>
  </si>
  <si>
    <t>Zero-valent iron decorated on graphene nanosheets</t>
  </si>
  <si>
    <t>Li et al. (2016)</t>
  </si>
  <si>
    <r>
      <rPr>
        <u/>
        <sz val="10"/>
        <color rgb="FF00FF00"/>
        <rFont val="Arial"/>
      </rPr>
      <t>https://doi.org/10.1016/j.cej.2015.12.022</t>
    </r>
  </si>
  <si>
    <t>Copolymer of dimethylaminoethyl methacrylate with graphene oxide</t>
  </si>
  <si>
    <t>Ma et al. (2015)</t>
  </si>
  <si>
    <r>
      <rPr>
        <u/>
        <sz val="10"/>
        <color rgb="FF1155CC"/>
        <rFont val="Arial"/>
      </rPr>
      <t>Radiation-induced graft copolymerization of dimethylaminoethyl methacrylate onto graphene oxide for Cr(VI) removal - ScienceDirect</t>
    </r>
  </si>
  <si>
    <t>Graphene sand composite (GSC)</t>
  </si>
  <si>
    <t>Dubey et al. (2015)</t>
  </si>
  <si>
    <r>
      <rPr>
        <u/>
        <sz val="10"/>
        <color rgb="FF1155CC"/>
        <rFont val="Arial"/>
      </rPr>
      <t>(PDF) Green synthesis of graphene sand composite (GSC) as novel adsorbent for efficient removal of Cr (VI) ions from aqueous solution</t>
    </r>
  </si>
  <si>
    <t>Graphene oxide</t>
  </si>
  <si>
    <t>Yang et al. (2014a)</t>
  </si>
  <si>
    <t>https://doi.org/10.1016/j.colsurfa.2014.05.062</t>
  </si>
  <si>
    <t>Modified graphene (GN) with cetyltrimethylammonium bromide</t>
  </si>
  <si>
    <t>Wu et al. (2013)</t>
  </si>
  <si>
    <r>
      <rPr>
        <u/>
        <sz val="10"/>
        <color rgb="FF1155CC"/>
        <rFont val="Arial"/>
      </rPr>
      <t>Adsorption of hexavalent chromium from aqueous solutions by graphene modified with cetyltrimethylammonium bromide - ScienceDirect</t>
    </r>
  </si>
  <si>
    <t>Acrylonitriledivinylbenzene copolymer</t>
  </si>
  <si>
    <t>Duranoğlu et al. (2010)</t>
  </si>
  <si>
    <r>
      <rPr>
        <u/>
        <sz val="10"/>
        <color rgb="FF00FF00"/>
        <rFont val="Arial"/>
      </rPr>
      <t>https://doi.org/10.1016/j.cej.2010.08.054</t>
    </r>
  </si>
  <si>
    <t>Syzygium jambolanum nut carbon</t>
  </si>
  <si>
    <t>Muthukumaran &amp; Beulah (2011)</t>
  </si>
  <si>
    <r>
      <rPr>
        <u/>
        <sz val="10"/>
        <color rgb="FF00FF00"/>
        <rFont val="Arial"/>
      </rPr>
      <t>https://doi.org/10.1016/j.proenv.2011.03.032</t>
    </r>
  </si>
  <si>
    <t>Green alga Ulva lactuca</t>
  </si>
  <si>
    <t>El-Sikaily et al. (2007)</t>
  </si>
  <si>
    <r>
      <rPr>
        <u/>
        <sz val="10"/>
        <color rgb="FF1155CC"/>
        <rFont val="Arial"/>
      </rPr>
      <t>Removal of toxic chromium from wastewater using green alga Ulva lactuca and its activated carbon - ScienceDirect</t>
    </r>
  </si>
  <si>
    <t>Jatropha wood</t>
  </si>
  <si>
    <t>Gueye et al. (2014)</t>
  </si>
  <si>
    <t>https://doi.org/10.1016/j.jece.2013.12.014</t>
  </si>
  <si>
    <t>Tamarind wood</t>
  </si>
  <si>
    <t>Pb2+</t>
  </si>
  <si>
    <t>Acharya et al. (2009)</t>
  </si>
  <si>
    <r>
      <rPr>
        <u/>
        <sz val="10"/>
        <color rgb="FF1155CC"/>
        <rFont val="Arial"/>
      </rPr>
      <t>Removal of lead(II) from wastewater by activated carbon developed from Tamarind wood by zinc chloride activation - ScienceDirect</t>
    </r>
  </si>
  <si>
    <t>Pterocladia capillacea</t>
  </si>
  <si>
    <t>El Nemr et al. (2015)</t>
  </si>
  <si>
    <r>
      <rPr>
        <u/>
        <sz val="10"/>
        <color rgb="FF1155CC"/>
        <rFont val="Arial"/>
      </rPr>
      <t>Removal of toxic chromium from aqueous solution, wastewater and saline water by marine red alga Pterocladia capillacea and its activated carbon - ScienceDirect</t>
    </r>
  </si>
  <si>
    <t>Zizania caduciflora</t>
  </si>
  <si>
    <t>Liu et al. (2014)</t>
  </si>
  <si>
    <r>
      <rPr>
        <u/>
        <sz val="10"/>
        <color rgb="FF1155CC"/>
        <rFont val="Arial"/>
      </rPr>
      <t>Enhancement of Cr(VI) removal by modifying activated carbon developed from Zizania caduciflora with tartaric acid during phosphoric acid activation - ScienceDirect</t>
    </r>
  </si>
  <si>
    <t>Prawn shell</t>
  </si>
  <si>
    <t>Arulkumar et al. (2012)</t>
  </si>
  <si>
    <r>
      <rPr>
        <u/>
        <sz val="10"/>
        <color rgb="FF1155CC"/>
        <rFont val="Arial"/>
      </rPr>
      <t>Rapid removal of chromium from aqueous solution using novel prawn shell activated carbon - ScienceDirect</t>
    </r>
  </si>
  <si>
    <t>Iron oxide incorporated into silica derived from rice husk</t>
  </si>
  <si>
    <t>Oladoja et al. (2013)</t>
  </si>
  <si>
    <r>
      <rPr>
        <u/>
        <sz val="10"/>
        <color rgb="FF1155CC"/>
        <rFont val="Arial"/>
      </rPr>
      <t>(PDF) Iron incorporated rice husk silica as a sorbent for hexavalent chromium attenuation in aqueous system</t>
    </r>
  </si>
  <si>
    <t>Ozone-treated rice husk</t>
  </si>
  <si>
    <t>Sugashini &amp; Begum (2015)</t>
  </si>
  <si>
    <r>
      <rPr>
        <u/>
        <sz val="10"/>
        <color rgb="FF1155CC"/>
        <rFont val="Arial"/>
      </rPr>
      <t>Preparation of activated carbon from carbonized rice husk by ozone activation for Cr(VI) removal | Request PDF</t>
    </r>
  </si>
  <si>
    <t>Coconut coir pith modified by using surfactant cetyltrimethyl ammonium bromide</t>
  </si>
  <si>
    <t>Nadeem et al. (2006)</t>
  </si>
  <si>
    <r>
      <rPr>
        <u/>
        <sz val="10"/>
        <color rgb="FF1155CC"/>
        <rFont val="Arial"/>
      </rPr>
      <t>Removal of chromium(VI) from water and wastewater using surfactant modified coconut coir pith as a biosorbent - ScienceDirect</t>
    </r>
  </si>
  <si>
    <t>Coconut coir pith modified by using hexadecyltrimethyl ammonium bromide surfactant</t>
  </si>
  <si>
    <t>Namasivayam &amp; Sureshkumar (2008)</t>
  </si>
  <si>
    <r>
      <rPr>
        <u/>
        <sz val="10"/>
        <color rgb="FF1155CC"/>
        <rFont val="Arial"/>
      </rPr>
      <t>Removal of Chromium(VI) From Water and Wastewater Using Surfactant Modified Coconut Coir Pith as a Biosorbent | Request PDF</t>
    </r>
  </si>
  <si>
    <t>Acinetobacter haemolyticus bacteria inside sugarcane bagasse</t>
  </si>
  <si>
    <t>Ahmad et al. (2013)</t>
  </si>
  <si>
    <r>
      <rPr>
        <u/>
        <sz val="10"/>
        <color rgb="FF1155CC"/>
        <rFont val="Arial"/>
      </rPr>
      <t>Cr(VI) reduction in naturally rich growth medium and sugarcane bagasse by Acinetobacter haemolyticus | Request PDF</t>
    </r>
  </si>
  <si>
    <t>Succinic acid modified sugarcane bagasse</t>
  </si>
  <si>
    <t>Garg et al. (2009)</t>
  </si>
  <si>
    <t>https://doi.org/10.1016/j.desal.2008.10.025</t>
  </si>
  <si>
    <t>Sugarcane bagasse activated with zinc chloride</t>
  </si>
  <si>
    <t>Cronje et al. (2011)</t>
  </si>
  <si>
    <r>
      <rPr>
        <u/>
        <sz val="10"/>
        <color rgb="FF1155CC"/>
        <rFont val="Arial"/>
      </rPr>
      <t>Optimization of chromium(VI) sorption potential using developed activated carbon from sugarcane bagasse with chemical activation by zinc chloride - ScienceDirect</t>
    </r>
  </si>
  <si>
    <t>Wheat bran</t>
  </si>
  <si>
    <t>Farajzadeh &amp; Monji (2004)</t>
  </si>
  <si>
    <r>
      <rPr>
        <u/>
        <sz val="10"/>
        <color rgb="FF1155CC"/>
        <rFont val="Arial"/>
      </rPr>
      <t>Adsorption characteristics of wheat bran towards heavy metal cations | Request PDF</t>
    </r>
  </si>
  <si>
    <t>Wheat bran modified using sulphuric acid</t>
  </si>
  <si>
    <t>Özer &amp; Özer (2004)</t>
  </si>
  <si>
    <r>
      <rPr>
        <u/>
        <sz val="10"/>
        <color rgb="FF1155CC"/>
        <rFont val="Arial"/>
      </rPr>
      <t>The Adsorption of Cr(VI) on Sulphuric Acid-Treated Wheat Bran | Request PDF</t>
    </r>
  </si>
  <si>
    <t>Wheat bran modified using tartaric acid</t>
  </si>
  <si>
    <t>Kaya et al. (2014)</t>
  </si>
  <si>
    <r>
      <rPr>
        <u/>
        <sz val="10"/>
        <color rgb="FF1155CC"/>
        <rFont val="Arial"/>
      </rPr>
      <t>Use of modified wheat bran for the removal of chromium(VI) from aqueous solutions - ScienceDirect</t>
    </r>
  </si>
  <si>
    <t>Modified coir pith using the surfactant hexadecyltrimethylammonium bromide</t>
  </si>
  <si>
    <r>
      <rPr>
        <u/>
        <sz val="10"/>
        <color rgb="FF1155CC"/>
        <rFont val="Arial"/>
      </rPr>
      <t>Removal of chromium(VI) from water and wastewater using surfactant modified coconut coir pith as a biosorbent - ScienceDirect</t>
    </r>
  </si>
  <si>
    <t>Coconut coir and derived char</t>
  </si>
  <si>
    <t>Shen et al. (2012)</t>
  </si>
  <si>
    <r>
      <rPr>
        <u/>
        <sz val="10"/>
        <color rgb="FF1155CC"/>
        <rFont val="Arial"/>
      </rPr>
      <t>Removal of hexavalent Cr by coconut coir and derived chars – The effect of surface functionality - ScienceDirect</t>
    </r>
  </si>
  <si>
    <t>Modified orange peel</t>
  </si>
  <si>
    <t>Marín et al. (2010)</t>
  </si>
  <si>
    <r>
      <rPr>
        <u/>
        <sz val="10"/>
        <color rgb="FF1155CC"/>
        <rFont val="Arial"/>
      </rPr>
      <t>(PDF) Modified Orange Peel Waste as a Sustainable Material for Adsorption of Contaminants</t>
    </r>
  </si>
  <si>
    <t>Pre-treated orange peel</t>
  </si>
  <si>
    <t>Lugo-Lugo et al. (2012)</t>
  </si>
  <si>
    <r>
      <rPr>
        <u/>
        <sz val="10"/>
        <color rgb="FF1155CC"/>
        <rFont val="Arial"/>
      </rPr>
      <t>Biosorption of Cr(III) and Fe(III) in single and binary systems onto pretreated orange peel - ScienceDirect</t>
    </r>
  </si>
  <si>
    <t>Composite of iron nanoparticles into orange peel pith</t>
  </si>
  <si>
    <t>López-Téllez et al. (2011)</t>
  </si>
  <si>
    <t>https://www.researchgate.net/publication/241114396_Removal_of_hexavalent_chromium_in_aquatic_solutions_by_iron_nanoparticles_embedded_in_orange_peel_pith</t>
  </si>
  <si>
    <t>Hydrochloric acid modified oak sawdust (Quercus coccifera)</t>
  </si>
  <si>
    <t>Argun et al. (2007)</t>
  </si>
  <si>
    <t>https://www.sciencedirect.com/science/article/abs/pii/S030438940600762X</t>
  </si>
  <si>
    <t>Sulphuric acid modified pine sawdust</t>
  </si>
  <si>
    <t>Politi &amp; Sidiras (2012)</t>
  </si>
  <si>
    <t>https://pdf.sciencedirectassets.com/278653/1-s2.0-S1877705812X00225/1-s2.0-S1877705812030007/main.pdf?X-Amz-Security-Token=IQoJb3JpZ2luX2VjELz%2F%2F%2F%2F%2F%2F%2F%2F%2F%2FwEaCXVzLWVhc3QtMSJHMEUCIHFVe0zrDMlX1pDbOfdr97qAAMWKKJwnMgnRHDH64GjDAiEAm52tYyVhlnW8temqdrUZfoloJl4Y6VJG6HImsKh93x4qvAUIlf%2F%2F%2F%2F%2F%2F%2F%2F%2F%2FARAFGgwwNTkwMDM1NDY4NjUiDPdYblHSk5azzNyO6iqQBQ4RMWQN%2FH9AmfgeYvX2NSFgamS0SAywNOTqxHepbIK%2FC9xchXOlqDnayumRg%2BwppVlUEuEAj208jC6UcsQcnXVb%2B0zmUw7Oyvka7LnXmCA7a%2F%2FqB%2Fs6YCJbMERoNVk8LDo7NNktAr12NbEVrmwlX2RKC1WtyMhlYySnrqSP2u6a4AXFj8nc4TQfroqVFMH6pdZwBSb3pkGeKxxje7RFhsrE7llWqsxSNYdSQ6GmyQXYPYx%2BdrvL%2FUH5l%2FVi0%2BPH1msZzpTaDicLa6fUsDvy3p%2FUt8mtzH2TqbsucVk1MtnZc6ECfTWz1CURaVOQp0HVqFc8fUyoXU3yUSvY0uHEgY6Y2N5OAJEDK94eyrKZWLYk47OZ2MD8QEgv6A8STwhLEBZH8lFrFh4%2FVEquLLaFacvETxr3jxWOcqFhMo3BY4Sk88ZrCfqtPbEQISd5uAaswr1tgzflivxCAQ86zu1761bMWIntZI15GrBSV5VdHAhJ3LvI2OSqvJ2imOsXsA8%2B7fahsIBYsogGs3qwp1cem%2F9ewpZJFDn72KwzggqEIvbnbg1Ikh8nZp56X3t6hhfqAx2dzTSOJOpvDeNz9uRmAefHJQ9AKHe%2FjFeeRA23zKbClGj62t7Mf719la6y9Z0L%2Br6x3AXNxRpvFlcRN26bD2oykYjj4XrTLTxC9EoWbeqlCfrzf6UPoYzQGwrxMhX%2B396hvBEq9akBuEx%2BLpGxKDNVaJp39zA%2BdmW8PdcLD0fjb09VvTFMKVKOKa15FuWux1M%2BN%2Fn4kyUrW6ykwL4X%2FGZIHHnaOEMwM52wLeJBK%2FqnieNkMe1rWK4MRDlWttIQO2%2FfnT%2FXoKD4frMFvxjzspKo9GD%2BRovvK3ROz9xEKZ%2BBMNfoy7sGOrEBPrIC0T5JbpNR8dihntaPE%2BVaxOwsKSOEh1ti6rykvaTJi42yX6givDg%2Bt4f88WgE2BNdIBT7YrbkiCHOV4Zgk2v9IbOoN5Csq48MatjvQCBk53eIilCk%2FE%2B%2FS0AWGqf0nVWat8ReATORFKpt5vSWjrKrERpgIYSH8Du%2BM4pfHMLGEeq55%2FoKuOl4iNG3kZfsXBN3BHbtaSDk8SC6BgF2UOyuIAKUuynNXyIAVto9j2j%2B&amp;X-Amz-Algorithm=AWS4-HMAC-SHA256&amp;X-Amz-Date=20241230T200500Z&amp;X-Amz-SignedHeaders=host&amp;X-Amz-Expires=300&amp;X-Amz-Credential=ASIAQ3PHCVTY3U76WUNW%2F20241230%2Fus-east-1%2Fs3%2Faws4_request&amp;X-Amz-Signature=cad33a09f1a0cf30cbf2d4b7da820a421716f7acf5b21b8c2cfbfd9e5f193392&amp;hash=b00abb4ac168585abc3b2ae06fc0327eb58b7cb6045d95b390a7fe5a139aa467&amp;host=68042c943591013ac2b2430a89b270f6af2c76d8dfd086a07176afe7c76c2c61&amp;pii=S1877705812030007&amp;tid=spdf-75d6a8c4-47a4-4aaa-8c40-2bb1415e50d2&amp;sid=8750893551331644d39899426620c04d2177gxrqb&amp;type=client&amp;tsoh=d3d3LnNjaWVuY2VkaXJlY3QuY29t&amp;ua=0f0e5e0207560e515551&amp;rr=8fa4a4628d4554ec&amp;cc=in</t>
  </si>
  <si>
    <t>Egg shell modified using PEI</t>
  </si>
  <si>
    <t>Liu &amp; Huang (2011)</t>
  </si>
  <si>
    <t>https://pubs.rsc.org/en/content/articlelanding/2011/jm/c1jm12329g</t>
  </si>
  <si>
    <t>Silica functionalised with mono amino and mercapto groups</t>
  </si>
  <si>
    <t>Cd2+</t>
  </si>
  <si>
    <t>Machida et al. (2012)</t>
  </si>
  <si>
    <t>https://www.sciencedirect.com/science/article/abs/pii/S030438941200430X</t>
  </si>
  <si>
    <t>Amino functionalised silica</t>
  </si>
  <si>
    <t>Heidari et al. (2009)</t>
  </si>
  <si>
    <t>https://www.sciencedirect.com/science/article/abs/pii/S1385894709004318</t>
  </si>
  <si>
    <t>Iminodiacetic acid-modified mesoporous SBA-15</t>
  </si>
  <si>
    <t>Gao et al. (2007)</t>
  </si>
  <si>
    <r>
      <rPr>
        <u/>
        <sz val="10"/>
        <color rgb="FF00FF00"/>
        <rFont val="Arial"/>
      </rPr>
      <t>https://doi.org/10.1016/j.colsurfa.2007.04.045</t>
    </r>
  </si>
  <si>
    <t>Polyamine-functionalised</t>
  </si>
  <si>
    <t>Alothman &amp; Apblett (2010)</t>
  </si>
  <si>
    <t>https://www.sciencedirect.com/science/article/abs/pii/S0166445X10002997</t>
  </si>
  <si>
    <t>α-Ketoglutaricacid-modified magnetic chitosan</t>
  </si>
  <si>
    <t>Yang et al. (2014b)</t>
  </si>
  <si>
    <t>https://www.sciencedirect.com/science/article/abs/pii/S0169433213023088</t>
  </si>
  <si>
    <t>Nano-hydroxyapatite/chitosan composite</t>
  </si>
  <si>
    <t>Salah et al. (2014)</t>
  </si>
  <si>
    <t>https://www.sciencedirect.com/science/article/abs/pii/S1876107013002691</t>
  </si>
  <si>
    <t>Polyaniline grafted cross-linked chitosan beads</t>
  </si>
  <si>
    <t>Igberase &amp; Osifo (2015)</t>
  </si>
  <si>
    <t>https://www.sciencedirect.com/science/article/abs/pii/S1226086X14006728</t>
  </si>
  <si>
    <t>O-carboxymethyl functionalisation of chitosan</t>
  </si>
  <si>
    <t>Borsagli et al. (2015)</t>
  </si>
  <si>
    <t>https://www.sciencedirect.com/science/article/abs/pii/S1381514815300535</t>
  </si>
  <si>
    <t>Multi-walled carbon nanotubes modified with chitosan</t>
  </si>
  <si>
    <t>Salam et al. (2011)</t>
  </si>
  <si>
    <t>https://www.sciencedirect.com/science/article/abs/pii/S0925838810028574</t>
  </si>
  <si>
    <t>Synthetic zeolite A</t>
  </si>
  <si>
    <t>El-Kamash et al. (2005)</t>
  </si>
  <si>
    <t>https://www.sciencedirect.com/science/article/abs/pii/S030438940500405X</t>
  </si>
  <si>
    <t>Zeolite</t>
  </si>
  <si>
    <t>Rao et al. (2006)</t>
  </si>
  <si>
    <t>https://www.sciencedirect.com/science/article/abs/pii/S0301479705003531</t>
  </si>
  <si>
    <t>Zeolite from fly ash</t>
  </si>
  <si>
    <t>Izidoro et al. (2013)</t>
  </si>
  <si>
    <t>https://www.sciencedirect.com/science/article/abs/pii/S0016236112006205</t>
  </si>
  <si>
    <t>Oil shale into zeolite</t>
  </si>
  <si>
    <t>Shawabkeh et al. (2004)</t>
  </si>
  <si>
    <t>https://www.sciencedirect.com/science/article/abs/pii/S0016236103003442</t>
  </si>
  <si>
    <t>Natural zeolite</t>
  </si>
  <si>
    <t>Hamidpour et al. (2010)</t>
  </si>
  <si>
    <t>https://www.sciencedirect.com/science/article/abs/pii/S0304389410006503</t>
  </si>
  <si>
    <t>Coffee residues blended with clay</t>
  </si>
  <si>
    <t>Boonamnuayvitaya et al. (2004)</t>
  </si>
  <si>
    <t>https://www.researchgate.net/publication/244307502_Removal_of_Heavy_Metals_by_Adsorbent_Prepared_from_Pyrolyzed_Coffee_Residue_and_Clay</t>
  </si>
  <si>
    <t>Coffee husks</t>
  </si>
  <si>
    <t>Oliveira et al. (2008)</t>
  </si>
  <si>
    <t>https://www.sciencedirect.com/science/article/pii/S0304389407011132</t>
  </si>
  <si>
    <t>Coffee beans</t>
  </si>
  <si>
    <t>Kaikake et al. (2007)</t>
  </si>
  <si>
    <t>https://www.sciencedirect.com/science/article/pii/S0960852406000927</t>
  </si>
  <si>
    <t>Coffee grounds from cafeterias</t>
  </si>
  <si>
    <t>Azouaou et al. (2010)</t>
  </si>
  <si>
    <t>https://www.sciencedirect.com/science/article/pii/S0304389410010307</t>
  </si>
  <si>
    <t>Rice husk ash</t>
  </si>
  <si>
    <t>Srivastava et al. (2008)</t>
  </si>
  <si>
    <t>https://www.sciencedirect.com/science/article/pii/S1385894707006316</t>
  </si>
  <si>
    <t>Sulphuric acid-treated rice husk</t>
  </si>
  <si>
    <t>El-Shafey (2007)</t>
  </si>
  <si>
    <t>https://www.sciencedirect.com/science/article/pii/S0304389407001112</t>
  </si>
  <si>
    <t>Olive cake</t>
  </si>
  <si>
    <t>Al-Anber &amp; Matouq (2008)</t>
  </si>
  <si>
    <t>https://www.sciencedirect.com/science/article/pii/S0304389407008084</t>
  </si>
  <si>
    <t>Zinc chloride activated olive stone</t>
  </si>
  <si>
    <t>Kula et al. (2008)</t>
  </si>
  <si>
    <t>https://www.sciencedirect.com/science/article/pii/S096085240700082X</t>
  </si>
  <si>
    <t>Microwaved olive stone activated carbon</t>
  </si>
  <si>
    <t>Alslaibi et al. (2013)</t>
  </si>
  <si>
    <t>https://www.sciencedirect.com/science/article/pii/S2213343713000900</t>
  </si>
  <si>
    <t>Activated carbon from olive stones</t>
  </si>
  <si>
    <t>Bohli et al. (2015)</t>
  </si>
  <si>
    <t>https://www.sciencedirect.com/science/article/pii/S1631074814001477</t>
  </si>
  <si>
    <t>Olive stone waste</t>
  </si>
  <si>
    <t>Fiol et al. (2006)</t>
  </si>
  <si>
    <t>https://www.sciencedirect.com/science/article/pii/S1383586605003680</t>
  </si>
  <si>
    <t>Succinic anhydride modified apple pomace</t>
  </si>
  <si>
    <t>Chand et al. (2014)</t>
  </si>
  <si>
    <t>https://www.sciencedirect.com/science/article/pii/S0964830514000353</t>
  </si>
  <si>
    <t>Xanthate moiety into apple pomace</t>
  </si>
  <si>
    <t>Chand et al. (2015)</t>
  </si>
  <si>
    <t>https://www.sciencedirect.com/science/article/pii/S0964830514003229</t>
  </si>
  <si>
    <t>Activated carbon from coconut shell</t>
  </si>
  <si>
    <t>Kadirvelu &amp; Namasivayam (2003)</t>
  </si>
  <si>
    <t>https://www.sciencedirect.com/science/article/pii/S1093019102000187</t>
  </si>
  <si>
    <t>Green coconut shell</t>
  </si>
  <si>
    <t>Pino et al. (2006)</t>
  </si>
  <si>
    <t>https://www.tandfonline.com/doi/full/10.1080/01496390600851640#d1e466</t>
  </si>
  <si>
    <t>Sousa et al. (2010)</t>
  </si>
  <si>
    <t>https://www.sciencedirect.com/science/article/pii/S0301479710000393</t>
  </si>
  <si>
    <t>Aspergillus niger</t>
  </si>
  <si>
    <t>Cu2+</t>
  </si>
  <si>
    <t>Mukhopadhyay (2008)</t>
  </si>
  <si>
    <t>https://www.sciencedirect.com/science/article/pii/S1385894708001034</t>
  </si>
  <si>
    <t>Rhizopus oryazae filamentous fungus</t>
  </si>
  <si>
    <t>Bhainsa &amp; D'Souza (2008)</t>
  </si>
  <si>
    <t>https://www.sciencedirect.com/science/article/pii/S0960852407005858</t>
  </si>
  <si>
    <t>Pleurotus pulmonarius CCB019 and Schizophyllum commune</t>
  </si>
  <si>
    <t>Veit et al. (2005)</t>
  </si>
  <si>
    <t>https://www.sciencedirect.com/science/article/pii/S1359511305001625</t>
  </si>
  <si>
    <t>Trametes versicolor</t>
  </si>
  <si>
    <t>Şahan et al. (2010)</t>
  </si>
  <si>
    <t>https://www.sciencedirect.com/science/article/pii/S0960852410001914</t>
  </si>
  <si>
    <t>Penicillium citrinum</t>
  </si>
  <si>
    <t>Verma et al. (2013)</t>
  </si>
  <si>
    <t>https://www.sciencedirect.com/science/article/pii/S0925857413004242</t>
  </si>
  <si>
    <t>Saccharomyces cerevisiae biomass</t>
  </si>
  <si>
    <t>Cojocaru et al. (2009)</t>
  </si>
  <si>
    <t>https://www.researchgate.net/publication/259339560_Biosorption_of_CopperII_Ions_from_Aqua_Solutions_Using_Dried_Yeast_Biomass</t>
  </si>
  <si>
    <t>Padina sp.</t>
  </si>
  <si>
    <t>Kaewsarn (2002)</t>
  </si>
  <si>
    <t>Biosorption of copper(II) from aqueous solutions by pre-treated biomass of marine algae Padina sp. - ScienceDirect</t>
  </si>
  <si>
    <t>Cystoseira crinitophylla biomass</t>
  </si>
  <si>
    <t>Christoforidis et al. (2015)</t>
  </si>
  <si>
    <r>
      <rPr>
        <u/>
        <sz val="10"/>
        <color rgb="FF1155CC"/>
        <rFont val="Arial"/>
      </rPr>
      <t>Study of Cu(II) removal by Cystoseira crinitophylla biomass in batch and continuous flow biosorption - ScienceDirect</t>
    </r>
  </si>
  <si>
    <t>Sargassum, Chlorococcum and GAC</t>
  </si>
  <si>
    <t>Jacinto et al. (2009)</t>
  </si>
  <si>
    <r>
      <rPr>
        <u/>
        <sz val="10"/>
        <color rgb="FF1155CC"/>
        <rFont val="Arial"/>
      </rPr>
      <t>Comparative efficiency of algal biofilters in the removal of chromium and copper from wastewater - ScienceDirect</t>
    </r>
  </si>
  <si>
    <t>Codium vermilara</t>
  </si>
  <si>
    <t>Romera et al. (2007)</t>
  </si>
  <si>
    <r>
      <rPr>
        <u/>
        <sz val="10"/>
        <color rgb="FF1155CC"/>
        <rFont val="Arial"/>
      </rPr>
      <t>Comparative Study of Biosorption of Heavy Metals Using Different Types of Algae</t>
    </r>
  </si>
  <si>
    <t>Spirogyra insignis</t>
  </si>
  <si>
    <r>
      <rPr>
        <sz val="11"/>
        <color rgb="FF2E2E2E"/>
        <rFont val="Arial"/>
      </rPr>
      <t>19.063,</t>
    </r>
    <r>
      <rPr>
        <sz val="11"/>
        <color rgb="FF93C47D"/>
        <rFont val="Arial"/>
      </rPr>
      <t>19.3</t>
    </r>
  </si>
  <si>
    <r>
      <rPr>
        <u/>
        <sz val="10"/>
        <color rgb="FF1155CC"/>
        <rFont val="Arial"/>
      </rPr>
      <t>Comparative Study of Biosorption of Heavy Metals Using Different Types of Algae</t>
    </r>
  </si>
  <si>
    <t>Spirulina platensis</t>
  </si>
  <si>
    <t>Solisio et al. (2006)</t>
  </si>
  <si>
    <t>https://doi.org/10.1016/j.biortech.2005.07.018</t>
  </si>
  <si>
    <t>Dried micro-algal/bacterial biomass</t>
  </si>
  <si>
    <t>Loutseti et al. (2009)</t>
  </si>
  <si>
    <r>
      <rPr>
        <u/>
        <sz val="10"/>
        <color rgb="FF1155CC"/>
        <rFont val="Arial"/>
      </rPr>
      <t>The application of a micro-algal/bacterial biofilter for the detoxification of copper and cadmium metal wastes - PubMed</t>
    </r>
  </si>
  <si>
    <t>Paenibacillus polymyxa</t>
  </si>
  <si>
    <t>Acosta et al. (2005)</t>
  </si>
  <si>
    <r>
      <rPr>
        <u/>
        <sz val="10"/>
        <color rgb="FF1155CC"/>
        <rFont val="Arial"/>
      </rPr>
      <t>s11274-005-0381-6.pdf</t>
    </r>
  </si>
  <si>
    <t>Pseudomonas stutzeri</t>
  </si>
  <si>
    <t>Hassan et al. (2009)</t>
  </si>
  <si>
    <r>
      <rPr>
        <u/>
        <sz val="10"/>
        <color rgb="FF1155CC"/>
        <rFont val="Arial"/>
      </rPr>
      <t>Biosorptive capacity of Cd(II) and Cu(II) by lyophilized cells of Pseudomonas stutzeri - PubMed</t>
    </r>
  </si>
  <si>
    <t>Pseudomonas putida</t>
  </si>
  <si>
    <t>Pardo et al. (2003)</t>
  </si>
  <si>
    <r>
      <rPr>
        <u/>
        <sz val="10"/>
        <color rgb="FF1155CC"/>
        <rFont val="Arial"/>
      </rPr>
      <t>Biosorption of cadmium, copper, lead and zinc by inactive biomass of Pseudomonas Putida | Analytical and Bioanalytical Chemistry</t>
    </r>
  </si>
  <si>
    <t>Sphaerotilus natans</t>
  </si>
  <si>
    <t>Beolchini et al. (2006)</t>
  </si>
  <si>
    <r>
      <rPr>
        <u/>
        <sz val="10"/>
        <color rgb="FF1155CC"/>
        <rFont val="Arial"/>
      </rPr>
      <t>Ionic strength effect on copper biosorption by Sphaerotilus natans: equilibrium study and dynamic modelling in membrane reactor - ScienceDirect</t>
    </r>
  </si>
  <si>
    <t>Bacillus sp. (bacterial strain isolated from soil)</t>
  </si>
  <si>
    <t>Tunali et al. (2006)</t>
  </si>
  <si>
    <r>
      <rPr>
        <u/>
        <sz val="10"/>
        <color rgb="FF1155CC"/>
        <rFont val="Arial"/>
      </rPr>
      <t>Removal of lead and copper ions from aqueous solutions by bacterial strain isolated from soil - ScienceDirect</t>
    </r>
  </si>
  <si>
    <t>Sawdust</t>
  </si>
  <si>
    <t>Ahmad et al. (2009)</t>
  </si>
  <si>
    <r>
      <rPr>
        <u/>
        <sz val="10"/>
        <color rgb="FF1155CC"/>
        <rFont val="Arial"/>
      </rPr>
      <t>Adsorption of heavy metals on conventional and nanostructured materials for wastewater treatment purposes: A review - ScienceDirect</t>
    </r>
  </si>
  <si>
    <t>Granulated AC</t>
  </si>
  <si>
    <t>Ni2+</t>
  </si>
  <si>
    <t>Godino-Salido et al. (2009)</t>
  </si>
  <si>
    <t>https://www.sciencedirect.com/science/article/pii/S0277538709005816</t>
  </si>
  <si>
    <t>Montmorillonite</t>
  </si>
  <si>
    <t>Ijagbemi et al. (2009)</t>
  </si>
  <si>
    <t>https://www.sciencedirect.com/science/article/pii/S0304389408017469</t>
  </si>
  <si>
    <t>Original bentonite</t>
  </si>
  <si>
    <t>Kul and Koyuncu (2010)</t>
  </si>
  <si>
    <t>https://www.sciencedirect.com/science/article/pii/S0304389410003158</t>
  </si>
  <si>
    <t>Cicer arientinum biomass</t>
  </si>
  <si>
    <t>Nadeem et al. (2009)</t>
  </si>
  <si>
    <t>https://www.sciencedirect.com/science/article/pii/S1385894708008097</t>
  </si>
  <si>
    <t>Pine wood char</t>
  </si>
  <si>
    <t>Mohan et al. (2007)</t>
  </si>
  <si>
    <t>https://www.sciencedirect.com/science/article/pii/S0021979707000409</t>
  </si>
  <si>
    <t>AC F-400</t>
  </si>
  <si>
    <t>CNTs</t>
  </si>
  <si>
    <t>Stafiej and Pyrzynska (2008)</t>
  </si>
  <si>
    <t>https://www.sciencedirect.com/science/article/pii/S0026265X07001294</t>
  </si>
  <si>
    <t>Activated Carbon</t>
  </si>
  <si>
    <t>(Karnib et al., 2014;</t>
  </si>
  <si>
    <t>https://www.sciencedirect.com/science/article/pii/S1876610214007504</t>
  </si>
  <si>
    <t>https://www.sciencedirect.com/science/article/pii/S1876610214007505</t>
  </si>
  <si>
    <t>https://www.sciencedirect.com/science/article/pii/S1876610214007506</t>
  </si>
  <si>
    <t>https://www.sciencedirect.com/science/article/pii/S1876610214007507</t>
  </si>
  <si>
    <t>Zn2+</t>
  </si>
  <si>
    <t>https://www.sciencedirect.com/science/article/pii/S1876610214007508</t>
  </si>
  <si>
    <t>CaO/Fe3O4/SDS</t>
  </si>
  <si>
    <t>[86]</t>
  </si>
  <si>
    <t>https://doi.org/10.1002/ceat.201800488</t>
  </si>
  <si>
    <t>bentonite/Fe3O4</t>
  </si>
  <si>
    <t>[87]</t>
  </si>
  <si>
    <r>
      <rPr>
        <u/>
        <sz val="10"/>
        <color rgb="FF00FF00"/>
        <rFont val="Arial"/>
      </rPr>
      <t>https://doi.org/10.5004/dwt.2018.22228</t>
    </r>
    <r>
      <rPr>
        <sz val="10"/>
        <color rgb="FF00FF00"/>
        <rFont val="Arial"/>
      </rPr>
      <t xml:space="preserve"> </t>
    </r>
  </si>
  <si>
    <t>CaO/Fe3O4</t>
  </si>
  <si>
    <t>Co2+</t>
  </si>
  <si>
    <t>[88]</t>
  </si>
  <si>
    <r>
      <rPr>
        <u/>
        <sz val="10"/>
        <color rgb="FF00FF00"/>
        <rFont val="Arial"/>
      </rPr>
      <t>https://doi.org/10.2298/JSC170704098S</t>
    </r>
    <r>
      <rPr>
        <sz val="10"/>
        <color rgb="FF00FF00"/>
        <rFont val="Arial"/>
      </rPr>
      <t xml:space="preserve"> </t>
    </r>
  </si>
  <si>
    <t>Cobalt-ferrite</t>
  </si>
  <si>
    <r>
      <rPr>
        <sz val="11"/>
        <color rgb="FF0C7DBB"/>
        <rFont val="Arial"/>
      </rPr>
      <t xml:space="preserve"> </t>
    </r>
    <r>
      <rPr>
        <sz val="11"/>
        <color rgb="FF00FF00"/>
        <rFont val="Arial"/>
      </rPr>
      <t xml:space="preserve">DOI: 10.17344/acsi.2018.4795 </t>
    </r>
  </si>
  <si>
    <t>Adsorption of Cr (III) and Cd (II) Ions using Mesoporous Cobalt-Ferrite Nanocomposite from Synthetic Wastewater</t>
  </si>
  <si>
    <t>Fe3O4/talac</t>
  </si>
  <si>
    <t>[94]</t>
  </si>
  <si>
    <r>
      <rPr>
        <u/>
        <sz val="10"/>
        <color rgb="FF00FF00"/>
        <rFont val="Arial"/>
      </rPr>
      <t>https://doi.org/10.3390/ijms150712913</t>
    </r>
    <r>
      <rPr>
        <sz val="10"/>
        <color rgb="FF00FF00"/>
        <rFont val="Arial"/>
      </rPr>
      <t xml:space="preserve"> </t>
    </r>
  </si>
  <si>
    <t>Watermelon Rind</t>
  </si>
  <si>
    <r>
      <rPr>
        <u/>
        <sz val="11"/>
        <color rgb="FF00FF00"/>
        <rFont val="Arial"/>
      </rPr>
      <t>https://link.springer.com/article/10.1007/s12010-011-9521-7</t>
    </r>
    <r>
      <rPr>
        <u/>
        <sz val="11"/>
        <color rgb="FF000000"/>
        <rFont val="Arial"/>
      </rPr>
      <t xml:space="preserve"> </t>
    </r>
  </si>
  <si>
    <t>Watermelon rind: agro-waste or superior biosorbent?</t>
  </si>
  <si>
    <t>Gupta and Gogate, 2016</t>
  </si>
  <si>
    <t>https://www.sciencedirect.com/science/article/pii/S135041771530081X</t>
  </si>
  <si>
    <t>Liu et al., 2012b</t>
  </si>
  <si>
    <t>https://link.springer.com/article/10.1007/s12010-011-9521-7</t>
  </si>
  <si>
    <t>Lakshmipathy and Sarada, 2016b</t>
  </si>
  <si>
    <t>https://www.sciencedirect.com/science/article/pii/S1944398624180113</t>
  </si>
  <si>
    <t>Ibrahim, 2020</t>
  </si>
  <si>
    <t>https://iopscience.iop.org/article/10.1088/1757-899X/737/1/012195/pdf</t>
  </si>
  <si>
    <t>Kiew &amp; Toong, 2018</t>
  </si>
  <si>
    <t>https://www.akademiabaru.com/submit/index.php/progee/article/view/1048</t>
  </si>
  <si>
    <t>Azizul-Rahman et al., 2014</t>
  </si>
  <si>
    <t>https://www.scientific.net/AMM.680.146.pdf</t>
  </si>
  <si>
    <t>Oghenejoboh, 2018</t>
  </si>
  <si>
    <t>file:///C:/Users/HP/Downloads/ajol-file-journals_483_articles_175009_submission_proof_175009-5701-447847-1-10-20180723.pdf</t>
  </si>
  <si>
    <t>Mathangi and Kalavathy, 2019</t>
  </si>
  <si>
    <t>https://onlinelibrary.wiley.com/doi/full/10.1111/wej.12408</t>
  </si>
  <si>
    <t>Lakshmipathy and Sarada, 2013</t>
  </si>
  <si>
    <t>https://www.sciencedirect.com/science/article/pii/S0301751613000653</t>
  </si>
  <si>
    <t>Lakshmipathy and Sarada, 2015</t>
  </si>
  <si>
    <t>https://pubs.rsc.org/en/content/articlehtml/2015/ew/c4ew00027g</t>
  </si>
  <si>
    <t>Lakshmipathy et al., 2013</t>
  </si>
  <si>
    <t>Tl+</t>
  </si>
  <si>
    <t>Li et al., 2019</t>
  </si>
  <si>
    <t>https://www.sciencedirect.com/science/article/pii/S0957582019301582</t>
  </si>
  <si>
    <t>Li et al., 2020</t>
  </si>
  <si>
    <t>https://www.sciencedirect.com/science/article/pii/S0048969719341439</t>
  </si>
  <si>
    <t>As3+</t>
  </si>
  <si>
    <t>Shakoor et al., 2018</t>
  </si>
  <si>
    <t>https://www.sciencedirect.com/science/article/pii/S0048969718327104</t>
  </si>
  <si>
    <t>As5+</t>
  </si>
  <si>
    <t>Fe2+</t>
  </si>
  <si>
    <t>Othman and Asharuddin, 2013</t>
  </si>
  <si>
    <t>https://www.researchgate.net/profile/Syazwani-Mohd-Asharuddin/publication/280614336_Utilization_of_Cucumis_Melo_Rind_as_Fe_and_Pb_Ions_Biosorbent/links/55befec808aec0e5f445e669/Utilization-of-Cucumis-Melo-Rind-as-Fe-and-Pb-Ions-Biosorbent?__cf_chl_tk=btDNDHocn80UbDCskDkMTv6CGy3PQO.by28gQrVKgAI-1744090908-1.0.1.1-lRQNPEC4omczFPhB8BFZiDJwTY.zBKXPsqQ3XrwEiMI</t>
  </si>
  <si>
    <t>Mn2+</t>
  </si>
  <si>
    <t>Montmorinollite@Magnetite</t>
  </si>
  <si>
    <r>
      <rPr>
        <sz val="11"/>
        <color rgb="FF0C7DBB"/>
        <rFont val="Arial"/>
      </rPr>
      <t>[</t>
    </r>
    <r>
      <rPr>
        <u/>
        <sz val="11"/>
        <color rgb="FF0C7DBB"/>
        <rFont val="Arial"/>
      </rPr>
      <t>99</t>
    </r>
    <r>
      <rPr>
        <sz val="11"/>
        <color rgb="FF0C7DBB"/>
        <rFont val="Arial"/>
      </rPr>
      <t>]</t>
    </r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</si>
  <si>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</si>
  <si>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Fe3O4-Chitosan@Bentonite</t>
  </si>
  <si>
    <t>Cr6+</t>
  </si>
  <si>
    <t>[100]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</si>
  <si>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</si>
  <si>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GO/Fe3O4</t>
  </si>
  <si>
    <t>[101]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</si>
  <si>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</si>
  <si>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MSCMNPs-S4</t>
  </si>
  <si>
    <t>Hg2+</t>
  </si>
  <si>
    <t>[102]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</si>
  <si>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</si>
  <si>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CNSR- Fe3O4</t>
  </si>
  <si>
    <t>[103]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</si>
  <si>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</si>
  <si>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DNPH/SDS/Fe3O4</t>
  </si>
  <si>
    <t>[104]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</si>
  <si>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</si>
  <si>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NPSFe3O4</t>
  </si>
  <si>
    <t>[105]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</si>
  <si>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</si>
  <si>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glycol-Fe3O4</t>
  </si>
  <si>
    <t>[106]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</si>
  <si>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</si>
  <si>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SDS-nzVI</t>
  </si>
  <si>
    <t>[107]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</si>
  <si>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</si>
  <si>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Geothite, Hematite</t>
  </si>
  <si>
    <t>[108]</t>
  </si>
  <si>
    <r>
      <rPr>
        <u/>
        <sz val="10"/>
        <color rgb="FF1155CC"/>
        <rFont val="Arial"/>
      </rPr>
      <t>Application of magnetic adsorbents for removal of heavy metals from wastewater: a review study - IOPscience</t>
    </r>
  </si>
  <si>
    <t>As-received CSC</t>
  </si>
  <si>
    <t>Babel and Kurniawan (2004b)</t>
  </si>
  <si>
    <t>https://www.sciencedirect.com/science/article/pii/S0045653503009780</t>
  </si>
  <si>
    <t>CSC coated with chitosan</t>
  </si>
  <si>
    <t>https://www.sciencedirect.com/science/article/pii/S0045653503009781</t>
  </si>
  <si>
    <t>H2SO4-treated CSC</t>
  </si>
  <si>
    <t>https://www.sciencedirect.com/science/article/pii/S0045653503009782</t>
  </si>
  <si>
    <t>HNO3-treated CSC</t>
  </si>
  <si>
    <t>https://www.sciencedirect.com/science/article/pii/S0045653503009783</t>
  </si>
  <si>
    <t>Cocoa shell</t>
  </si>
  <si>
    <t>Meunier et al. (2003)</t>
  </si>
  <si>
    <t>https://www.sciencedirect.com/science/article/pii/S0960852403001299</t>
  </si>
  <si>
    <t>https://www.sciencedirect.com/science/article/pii/S0960852403001300</t>
  </si>
  <si>
    <t>https://www.sciencedirect.com/science/article/pii/S0960852403001301</t>
  </si>
  <si>
    <t>https://www.sciencedirect.com/science/article/pii/S0960852403001302</t>
  </si>
  <si>
    <t>https://www.sciencedirect.com/science/article/pii/S0960852403001303</t>
  </si>
  <si>
    <t>Pecan shell</t>
  </si>
  <si>
    <t>Shawabkeh et al. (2002)</t>
  </si>
  <si>
    <t>https://www.sciencedirect.com/science/article/pii/S0008622301001981?via%3Dihub</t>
  </si>
  <si>
    <t>Parthenium</t>
  </si>
  <si>
    <t>Kadirvelu et al. (2002)</t>
  </si>
  <si>
    <t>https://www.sciencedirect.com/science/article/pii/S0960852401000931</t>
  </si>
  <si>
    <t>Orange peel</t>
  </si>
  <si>
    <t>Annadurai et al. (2002)</t>
  </si>
  <si>
    <t>https://iwaponline.com/wst/article/47/1/185/10681/Adsorption-of-heavy-metals-from-water-using-banana</t>
  </si>
  <si>
    <t>Dakiky et al. (2002)</t>
  </si>
  <si>
    <t>https://www.sciencedirect.com/science/article/pii/S109301910100079X</t>
  </si>
  <si>
    <t>Maple sawdust</t>
  </si>
  <si>
    <t>Yu et al. (2003)</t>
  </si>
  <si>
    <t>https://www.sciencedirect.com/science/article/pii/S0304389403000086</t>
  </si>
  <si>
    <t>PSA</t>
  </si>
  <si>
    <t>Bansode et al. (2003)</t>
  </si>
  <si>
    <t>https://www.sciencedirect.com/science/article/pii/S0960852403000646</t>
  </si>
  <si>
    <t>Cd</t>
  </si>
  <si>
    <r>
      <rPr>
        <sz val="10"/>
        <color theme="1"/>
        <rFont val="Arial"/>
      </rPr>
      <t xml:space="preserve">35.3, </t>
    </r>
    <r>
      <rPr>
        <sz val="10"/>
        <color rgb="FF93C47D"/>
        <rFont val="Arial"/>
      </rPr>
      <t>253,198,141</t>
    </r>
  </si>
  <si>
    <t>https://www.sciencedirect.com/science/article/pii/S0304389410008125</t>
  </si>
  <si>
    <t>https://www.sciencedirect.com/science/article/pii/S0169433213023088</t>
  </si>
  <si>
    <t>Electrospun nanofibre membrane of PEO/chitosan</t>
  </si>
  <si>
    <t>Aliabadi et al. (2013)</t>
  </si>
  <si>
    <t>https://www.sciencedirect.com/science/article/pii/S1385894713000612</t>
  </si>
  <si>
    <t>https://www.sciencedirect.com/science/article/pii/S1876107013002691</t>
  </si>
  <si>
    <r>
      <rPr>
        <sz val="10"/>
        <color theme="1"/>
        <rFont val="Arial"/>
      </rPr>
      <t>130,</t>
    </r>
    <r>
      <rPr>
        <sz val="10"/>
        <color rgb="FF6AA84F"/>
        <rFont val="Arial"/>
      </rPr>
      <t>40</t>
    </r>
  </si>
  <si>
    <t>https://www.sciencedirect.com/science/article/pii/S1226086X14006728</t>
  </si>
  <si>
    <t>https://www.sciencedirect.com/science/article/pii/S1381514815300535</t>
  </si>
  <si>
    <t>Cr</t>
  </si>
  <si>
    <t>https://www.sciencedirect.com/science/article/pii/S0045653519308616#bib150</t>
  </si>
  <si>
    <t>https://www.sciencedirect.com/science/article/pii/S0969806X15300943</t>
  </si>
  <si>
    <t xml:space="preserve">Graphene sand composite (GSC) </t>
  </si>
  <si>
    <t>93, 90</t>
  </si>
  <si>
    <t>10, 0.12</t>
  </si>
  <si>
    <t>https://www.sciencedirect.com/science/article/pii/S2214714415000069</t>
  </si>
  <si>
    <t xml:space="preserve">Modified graphene (GN) with cetyltrimethylammonium bromide </t>
  </si>
  <si>
    <t>https://www.sciencedirect.com/science/article/pii/S0021979712013379</t>
  </si>
  <si>
    <t>https://www.sciencedirect.com/science/article/pii/S1385894712001623</t>
  </si>
  <si>
    <t xml:space="preserve">Syzygium jambolanum nut carbon </t>
  </si>
  <si>
    <t>https://pdf.sciencedirectassets.com/270397/1-s2.0-S1878029611X00038/1-s2.0-S1878029611000582/main.pdf?X-Amz-Security-Token=IQoJb3JpZ2luX2VjEGQaCXVzLWVhc3QtMSJHMEUCIQDO1n7hWF9K1L37NqUaJC3g9InFy%2F9sv1WYjhaz5y8gywIgBHq7i5EPRX0KY%2F3hfzHdGYcwRgXpUprfr9u086KFuKwqvAUI3P%2F%2F%2F%2F%2F%2F%2F%2F%2F%2FARAFGgwwNTkwMDM1NDY4NjUiDFxlCb6jnQsOGc7EOCqQBTU5L8NOlKA2ePBgM%2Bmn%2FXx1ek4rcJ7mbAX0t1%2Bj%2FT2RaIkmqnFu4o%2BKRihRWUuIlt6RI4crs6oZqZqYhT3sMnZ2RCyM770feCUOUjDmOJwhJfzcMRcuwHPkxUdK237X%2F9UtMW8WNqSivzWdtjjadJBCRRsmPhVzVgaZc8ErOWHC%2Btbc%2BEBxljRWYBC0MM8fFxCmagJKTpH84v8DscfpsdLDyOnUwS5pK%2BMl2ReTNWoY6EbaAXyNk1PuUSkV5S%2FcKJXXi2ThmK6ilUhBz%2FCApOiY%2FGVLBBy1HkW1CMKZO4jhWXTSE%2Bz%2BJ8V1N37WwZCFqSeeSmd4d0GWE7843JsIyNmfeC2DLjg07SJMfX%2BR0DyPmAliRXiiNq6rhlXJtIabSkI8j5ev8Z%2BgbpVDNwMsjCTrL%2FoVdsxJzsT6VG2Aqa%2BlOfET3e%2F%2FStQBPxWRz21UNCtKyed%2FmwAhn1A4%2FFzxwaF41TM5OOX%2BbmnlK1JOx1hEOUWyK3GXacoXwY2aGph9EaaA6qJYJXq2K64SdD06gQGoY7D%2BMU5FtdUAVkbI6Ptp6YohVTtJRvgdSy%2F%2FyrYWH55CN%2FlYxgEtODz%2FumTz7d2snQZycGT9a3qAl4NKfkG4bLtlv2EQE85MgSrvZ%2FN8LTe4ULG1%2BnzCxriZ3Oe6T1Lth4H4dM7GuBf8UM8IoMMjPIqEFYjJxt62FcshBntGNyDHJazxTlEiS%2FmTRF9vj8UI1V4e5zZaeMk3nawzHEHnXuLBIatHJHTipteOWZhVMybDHnOG1t49loge2NcOU7PXy0bGaHxngs4KOOJypJelRbys%2B34hDQ6i7aYHw6v9%2BvJXF%2FBTs3K%2B%2FHAgJ25XPgSKi6XSDutxHnTGBInh8%2Fl4MO%2F06r8GOrEBDYdjVVUx2B7kfswkrME2WOYNqxE2y0t8wssyKGHkDuUhIec7Xhu0wyQF0nMsg0hKd0On0u3RUbV9DYYxRYtSB3KoiyGbafRqDq%2F%2BdcVjDpmLIbZeSRp4eD14JQ629ixBG5ERyN%2FfQ3HvVX%2BzT4BLwtsnPitYLluJ94PvpUP6tCRShX1cylo7SZIAKCBL%2BcChn3v1zPYyVDxNr%2B1gBLSV%2BKR71MM1FfxyT%2FZIolm6IWOU&amp;X-Amz-Algorithm=AWS4-HMAC-SHA256&amp;X-Amz-Date=20250412T205608Z&amp;X-Amz-SignedHeaders=host&amp;X-Amz-Expires=300&amp;X-Amz-Credential=ASIAQ3PHCVTYY6X6VEK3%2F20250412%2Fus-east-1%2Fs3%2Faws4_request&amp;X-Amz-Signature=24e08edada14396550f03c45292d515fc2021f6bed364fca413042a79d882fa0&amp;hash=524023ce18a43ffa713137d40eace74b06916bc128103061960457bce954216c&amp;host=68042c943591013ac2b2430a89b270f6af2c76d8dfd086a07176afe7c76c2c61&amp;pii=S1878029611000582&amp;tid=spdf-976f1412-40f5-4c7c-9247-d8ae20eb4e89&amp;sid=f1ec00f357fb934a344b89353eba5ae60275gxrqb&amp;type=client&amp;tsoh=d3d3LnNjaWVuY2VkaXJlY3QuY29t&amp;rh=d3d3LnNjaWVuY2VkaXJlY3QuY29t&amp;ua=1308595607560652065204&amp;rr=92f5a0e5c8d1935f&amp;cc=in</t>
  </si>
  <si>
    <t xml:space="preserve">Green alga Ulva lactuca </t>
  </si>
  <si>
    <t>https://www.sciencedirect.com/science/article/pii/S0304389407002506</t>
  </si>
  <si>
    <t xml:space="preserve">Tamarind wood </t>
  </si>
  <si>
    <t>40,60</t>
  </si>
  <si>
    <t>125, 120</t>
  </si>
  <si>
    <t>6.5,5.68</t>
  </si>
  <si>
    <t>https://www.sciencedirect.com/science/article/pii/S1385894708007857</t>
  </si>
  <si>
    <t xml:space="preserve">Pterocladia capillacea </t>
  </si>
  <si>
    <t>https://www.sciencedirect.com/science/article/pii/S1878535211000207</t>
  </si>
  <si>
    <t xml:space="preserve">Zizania caduciflora </t>
  </si>
  <si>
    <t>https://www.sciencedirect.com/science/article/pii/S1385894714001946</t>
  </si>
  <si>
    <t xml:space="preserve">Prawn shell </t>
  </si>
  <si>
    <t>https://www.sciencedirect.com/science/article/pii/S1385894712000940</t>
  </si>
  <si>
    <t xml:space="preserve">Composite of carbon nanotubes and activated alumina </t>
  </si>
  <si>
    <t xml:space="preserve">Iron oxide incorporated into silica derived from rice husk </t>
  </si>
  <si>
    <t>https://www.sciencedirect.com/science/article/pii/S0263876213000919</t>
  </si>
  <si>
    <t xml:space="preserve">Modified rice husk </t>
  </si>
  <si>
    <t>190, 25</t>
  </si>
  <si>
    <t>95, 91.48</t>
  </si>
  <si>
    <t>5760, 90</t>
  </si>
  <si>
    <t>6.8, 2</t>
  </si>
  <si>
    <t>https://www.sciencedirect.com/science/article/pii/S246822762300090X#:~:text=The%20current%20work%20study%20the,transform%20infrared%20(FTIR)%20spectroscopy.</t>
  </si>
  <si>
    <t>https://pdf.sciencedirectassets.com/785634/1-s2.0-S1944398615X57201/1-s2.0-S1944398624027875/main.pdf?X-Amz-Security-Token=IQoJb3JpZ2luX2VjEGUaCXVzLWVhc3QtMSJHMEUCIQDfTMOjGghKbaT%2F7K9k2niz7m%2BHHRH7Oku7jb%2FQkLkKrQIgV6CTwudozDSXZHHhsMSTZl56w6WJRrCiIFcjUmq0ExwqvAUI3f%2F%2F%2F%2F%2F%2F%2F%2F%2F%2FARAFGgwwNTkwMDM1NDY4NjUiDP7eh9E9XWdhx90ziSqQBbZYLJVRm7rifLJbvIW16JqabpNJTcK467C8ee3rdmV1jDYo2XC4S%2BTfs3fJIeRSpwOngRjIMe8B6iZTAFNHOvKsDntDSVwzdBRF3CwzE0Xu8giURRN0u1brK2NxkYHxk%2BUnMlaHhSH8mkBX3kv1FggliHCZxSQp2Wd%2BOJnCbDTC4BziwgPTFO9VtZyhBbsaT3komKgNv90d85Zqs5khmnSQuMFiluw7OtuhvBPHn16rIkM3SpIRonb8WYgFrf2kwlcgNBfQWbD%2FqrjDGYCN%2B7Cg5NiIULtfINJhCAxHdrr%2BEfU4VbxfMnDhFxPZbhTJ4DHU%2BXH4w8O1NXgPWfGkJnTKrAuME5L0hGgpXcKtCbuNCTBmES0MURjX0IOtO0I34jxP4HXSLbg3vn8pP8XrZy7SunwtDxNS9hsDoxeBJVd6UES8A9%2BbfuU9vYIP0kjah0Rv9IkcCcXu449%2BbFf%2BOgilprkKKBsbHPRCnJWA%2BRubWqbOjZQ0sAp%2BTPs2TPQV0ODUiTo9gGtwJ8gl9tgG8%2B834UkI2dBfas%2Fwy4TWFyRko%2BhD4pYxtLh4ehYyPfz7oOy0p5TfbhdT84N%2BSb27YtSSe%2Bhh%2Baichnf34fftbGqrhqAdjf239tzBVLlLDjIw3kRp2d6bBr3lX%2BzwH3mVEJdVHjZArEsUnR3mImFPtQWu83Z%2BG0H3HvGdqEZrUaLheYd781SsSeoE%2FahE7YKeB2lb6hOsoH6o6m0Xl29%2FtCcyhmP4CKHKuQy%2BqfZmas7SqRiFxMbciPuonjrtqGkXVRudPiV5LDeVdRC9URQMdpRAfn69fWXL756wNwmpmMao8l%2FYP1p7PyePFMVeCzb54UXrXIJjHiQCajEf9C1kygsDMLKP678GOrEBO4%2BC6d2Jv4ZTntJ7KmDapLkLbxXFp5t9cG%2FYbEOwKhNTSKQregqmXdxX5doF2Zyh67ZULoYtN8vBc2DvAYwkgJ3YNs%2FqnQV9pq4iil%2BFz8by4SnlmdTUVMEPKgQLqgPvZnF0ayb25jQfDWT8ZgoRTX2mfibm8Hgfk5p3wFd47xLWoRmSeqgcnPT8S7KUSu09dAphH9Axz5P3u7%2FRyM3OEKDdjAXhNaHB5NwSdWXiEaaq&amp;X-Amz-Algorithm=AWS4-HMAC-SHA256&amp;X-Amz-Date=20250412T214349Z&amp;X-Amz-SignedHeaders=host&amp;X-Amz-Expires=300&amp;X-Amz-Credential=ASIAQ3PHCVTYTRGM7N6Y%2F20250412%2Fus-east-1%2Fs3%2Faws4_request&amp;X-Amz-Signature=1fe195b7472ad6b3041d550e12e3188dd874b499566ac2a2bb71c2aae85663bd&amp;hash=182ba9b4498ace2b5f21b65850f0220db0ee39869d047f4c2e631d9519342ec0&amp;host=68042c943591013ac2b2430a89b270f6af2c76d8dfd086a07176afe7c76c2c61&amp;pii=S1944398624027875&amp;tid=spdf-03ca0139-10b8-48f3-aa72-a08b4b45c151&amp;sid=f1ec00f357fb934a344b89353eba5ae60275gxrqb&amp;type=client&amp;tsoh=d3d3LnNjaWVuY2VkaXJlY3QuY29t&amp;rh=d3d3LnNjaWVuY2VkaXJlY3QuY29t&amp;ua=1308595607560254005153&amp;rr=92f5e6c64ab49373&amp;cc=in</t>
  </si>
  <si>
    <t>https://www.sciencedirect.com/science/article/pii/S0960852407004440</t>
  </si>
  <si>
    <t xml:space="preserve">Acinetobacter haemolyticus bacteria inside sugarcane bagasse </t>
  </si>
  <si>
    <t>90, 19</t>
  </si>
  <si>
    <t>https://www.sciencedirect.com/science/article/pii/S0964830515000815</t>
  </si>
  <si>
    <t xml:space="preserve">Succinic acid modified sugarcane bagasse </t>
  </si>
  <si>
    <t>https://www.sciencedirect.com/science/article/pii/S0960852406002100</t>
  </si>
  <si>
    <t xml:space="preserve">Sugarcane bagasse activated with zinc chloride </t>
  </si>
  <si>
    <t>https://www.sciencedirect.com/science/article/pii/S0011916411002372</t>
  </si>
  <si>
    <t xml:space="preserve">Wheat bran modified using sulphuric acid </t>
  </si>
  <si>
    <t>https://pubmed.ncbi.nlm.nih.gov/15369289/</t>
  </si>
  <si>
    <t xml:space="preserve">Wheat bran modified using tartaric acid </t>
  </si>
  <si>
    <t>https://www.sciencedirect.com/science/article/pii/S0308814614002921</t>
  </si>
  <si>
    <t xml:space="preserve">Modified coir pith using the surfactant hexadecyltrimethylammonium bromide </t>
  </si>
  <si>
    <t xml:space="preserve">Coconut coir and derived char </t>
  </si>
  <si>
    <t>https://www.sciencedirect.com/science/article/pii/S0960852411015859</t>
  </si>
  <si>
    <t xml:space="preserve">Modified orange peel </t>
  </si>
  <si>
    <t xml:space="preserve">Pre-treated orange peel </t>
  </si>
  <si>
    <t xml:space="preserve">Composite of iron nanoparticles into orange peel pith </t>
  </si>
  <si>
    <t>https://www.sciencedirect.com/science/article/pii/S1385894711009466</t>
  </si>
  <si>
    <t xml:space="preserve">Hydrochloric acid modified oak sawdust (Quercus coccifera) </t>
  </si>
  <si>
    <t>A. Hypogea (peanut) shells</t>
  </si>
  <si>
    <t>https://www.sciencedirect.com/science/article/pii/S0011916410005400</t>
  </si>
  <si>
    <t>Almond</t>
  </si>
  <si>
    <t>Banana peel</t>
  </si>
  <si>
    <t>https://pubs.acs.org/doi/10.1021/je900585t?src=getftr&amp;utm_source=sciencedirect_contenthosting&amp;getft_integrator=sciencedirect_contenthosting</t>
  </si>
  <si>
    <t>cu2+</t>
  </si>
  <si>
    <t>Graphene</t>
  </si>
  <si>
    <t>https://www.sciencedirect.com/science/article/pii/S2213343721006655</t>
  </si>
  <si>
    <t>Activated carbon</t>
  </si>
  <si>
    <t>Rice husk</t>
  </si>
  <si>
    <t>Cu2++</t>
  </si>
  <si>
    <t>LMS</t>
  </si>
  <si>
    <t>(Ge et al., 2016a)</t>
  </si>
  <si>
    <t>https://doi.org/10.1016/j.matdes.2016.01.102</t>
  </si>
  <si>
    <t>AFL</t>
  </si>
  <si>
    <t>(Jin et al., 2020)</t>
  </si>
  <si>
    <t>https://www.sciencedirect.com/science/article/pii/S0926669020307469</t>
  </si>
  <si>
    <t>M-Lignin-PEI</t>
  </si>
  <si>
    <t>(Zhang et al., 2019a)</t>
  </si>
  <si>
    <t>https://www.sciencedirect.com/science/article/pii/S0141813019350937</t>
  </si>
  <si>
    <t>MAL</t>
  </si>
  <si>
    <t>(Wang et al., 2019b)</t>
  </si>
  <si>
    <t>https://www.sciencedirect.com/science/article/pii/S1385894718323647?via%3Dihub</t>
  </si>
  <si>
    <t>GAL</t>
  </si>
  <si>
    <t>(Zhang et al., 2017)</t>
  </si>
  <si>
    <t>https://bioresources.cnr.ncsu.edu/resources/a-novel-gallic-acid-grafted-lignin-biosorbent-for-the-selected-removal-of-lead-ions-from-aqueous-solutions/</t>
  </si>
  <si>
    <t>DML</t>
  </si>
  <si>
    <t>(Zhang et al., 2021d)</t>
  </si>
  <si>
    <t>https://www.sciencedirect.com/science/article/pii/S0022169421000160</t>
  </si>
  <si>
    <t>L-CNTs</t>
  </si>
  <si>
    <t>(Li et al., 2017)</t>
  </si>
  <si>
    <t>https://journals.plos.org/plosone/article?id=10.1371/journal.pone.0170092</t>
  </si>
  <si>
    <t>Lignin-based multilayer microsphere</t>
  </si>
  <si>
    <t>(Zhang et al., 2022)</t>
  </si>
  <si>
    <t>https://www.mdpi.com/2073-4360/14/14/2824</t>
  </si>
  <si>
    <t>PAN/SL CNFs</t>
  </si>
  <si>
    <t>(Nordin et al., 2020)</t>
  </si>
  <si>
    <t>https://www.mdpi.com/1420-3049/25/13/3081</t>
  </si>
  <si>
    <t>P(AANa-co-HEMA)</t>
  </si>
  <si>
    <t>(Chen et al., 2020a)</t>
  </si>
  <si>
    <t>https://www.sciencedirect.com/science/article/pii/S1385894719333418?via%3Dihub</t>
  </si>
  <si>
    <t>MLBB</t>
  </si>
  <si>
    <t>(Xu et al., 2017a)</t>
  </si>
  <si>
    <t>https://repositorium.sdum.uminho.pt/bitstream/1822/65785/1/document_53785_1.pdf</t>
  </si>
  <si>
    <t>LS-GH</t>
  </si>
  <si>
    <t>(Li et al., 2016a)</t>
  </si>
  <si>
    <t>https://pubs.rsc.org/en/content/articlelanding/2016/ta/c6ta03779h</t>
  </si>
  <si>
    <t>Lignin-based biocomposite</t>
  </si>
  <si>
    <t>(Mohammadabadi and Javanbakht, 2020)</t>
  </si>
  <si>
    <t>https://www.sciencedirect.com/science/article/pii/S0141813020338277</t>
  </si>
  <si>
    <t>Surface functionalized porous lignin</t>
  </si>
  <si>
    <t>(Li et al., 2015c)</t>
  </si>
  <si>
    <t>https://pubs.acs.org/doi/full/10.1021/acsami.5b03994</t>
  </si>
  <si>
    <t>MoS2 @LDC</t>
  </si>
  <si>
    <t> 20.0</t>
  </si>
  <si>
    <t>(Chen et al., 2021)</t>
  </si>
  <si>
    <t>https://www.sciencedirect.com/science/article/pii/S0304389420328387</t>
  </si>
  <si>
    <t>LGNs</t>
  </si>
  <si>
    <t>(Yan et al., 2021)</t>
  </si>
  <si>
    <t>https://pubs.rsc.org/en/content/articlelanding/2021/ra/d0ra09190a</t>
  </si>
  <si>
    <t>LGH</t>
  </si>
  <si>
    <t>(Sun et al., 2021)</t>
  </si>
  <si>
    <t>https://www.sciencedirect.com/science/article/pii/S0959652621006260</t>
  </si>
  <si>
    <t>Lignin/PVA Blend Fiber</t>
  </si>
  <si>
    <t>(Kwak et al., 2018)</t>
  </si>
  <si>
    <t>https://link.springer.com/article/10.1007/s12221-018-8052-z</t>
  </si>
  <si>
    <t>Fluorescent lignin-based hydrogel</t>
  </si>
  <si>
    <t>(Yuan et al., 2021)</t>
  </si>
  <si>
    <t>https://www.sciencedirect.com/science/article/pii/S0048969720369266</t>
  </si>
  <si>
    <t>PEI-lignin particles</t>
  </si>
  <si>
    <t>(Kwak et al., 2020)</t>
  </si>
  <si>
    <t>https://www.sciencedirect.com/science/article/pii/S0045653519319630</t>
  </si>
  <si>
    <t>lignin-PEI</t>
  </si>
  <si>
    <t>(Shi et al., 2020a)</t>
  </si>
  <si>
    <t>https://www.sciencedirect.com/science/article/pii/S0141813020332839</t>
  </si>
  <si>
    <t>LSMA</t>
  </si>
  <si>
    <t>(Zhou et al., 2020)</t>
  </si>
  <si>
    <t>https://www.sciencedirect.com/science/article/pii/S0141813019366991</t>
  </si>
  <si>
    <t>Lignin-based hierarchical porous carbon</t>
  </si>
  <si>
    <t>(Liang et al., 2022)</t>
  </si>
  <si>
    <t>https://www.sciencedirect.com/science/article/pii/S0141813022002525</t>
  </si>
  <si>
    <t>Magnetic alkaline lignin−dopamine nanoparticles</t>
  </si>
  <si>
    <t>(Dai et al., 2019)</t>
  </si>
  <si>
    <t>https://www.sciencedirect.com/science/article/pii/S0141813019313996</t>
  </si>
  <si>
    <t>Carbon-lignin based adsorbent</t>
  </si>
  <si>
    <t>(Xue et al., 2022)</t>
  </si>
  <si>
    <t>https://www.tandfonline.com/doi/full/10.1080/01496395.2021.1920980</t>
  </si>
  <si>
    <t>AL-SH</t>
  </si>
  <si>
    <t>Hg</t>
  </si>
  <si>
    <t>(Zhou et al., 2014)</t>
  </si>
  <si>
    <t>https://onlinelibrary.wiley.com/doi/full/10.1002/app.40749</t>
  </si>
  <si>
    <t>PSD-LS</t>
  </si>
  <si>
    <t>(Gao et al., 2018)</t>
  </si>
  <si>
    <t>https://www.sciencedirect.com/science/article/pii/S0021979717313991</t>
  </si>
  <si>
    <t>PEI-CS-L</t>
  </si>
  <si>
    <t>(Zhang et al., 2020a)</t>
  </si>
  <si>
    <t>scholar.google.com/scholar?q=Peng+et+al.%2C+2020%2C+BSB%2C+Cd&amp;hl=en&amp;as_sdt=0%2C5&amp;as_ylo=2020&amp;as_yhi=2020</t>
  </si>
  <si>
    <t>N-MPC-EDTA</t>
  </si>
  <si>
    <t>(Zhang et al., 2021b)</t>
  </si>
  <si>
    <t>scholar.google.com/scholar?q=Peng+et+al.%2C+2020%2C+BSB%2C+Cd&amp;hl=en&amp;as_sdt=0%2C5&amp;as_ylo=2020&amp;as_yhi=2021</t>
  </si>
  <si>
    <t>BSB</t>
  </si>
  <si>
    <t>(Peng et al., 2020)</t>
  </si>
  <si>
    <t>https://link.springer.com/article/10.1007/S10570-020-03376-3</t>
  </si>
  <si>
    <t>LBA</t>
  </si>
  <si>
    <t>(Jin et al., 2017)</t>
  </si>
  <si>
    <t>https://www.sciencedirect.com/science/article/pii/S0960852417313779</t>
  </si>
  <si>
    <t>Corncob-based biochars</t>
  </si>
  <si>
    <t>(Luo et al., 2018)</t>
  </si>
  <si>
    <t>https://www.sciencedirect.com/science/article/pii/S0960852418304267</t>
  </si>
  <si>
    <t>BLAC</t>
  </si>
  <si>
    <t>Ni</t>
  </si>
  <si>
    <t>(Gao et al., 2013)</t>
  </si>
  <si>
    <t>https://www.sciencedirect.com/science/article/pii/S1385894712012272</t>
  </si>
  <si>
    <t>SLS-based
hydrogel</t>
  </si>
  <si>
    <t>(Wang et al., 2018c)</t>
  </si>
  <si>
    <t>https://www.sciencedirect.com/science/article/pii/S1350417717303048</t>
  </si>
  <si>
    <t>Lignin-Silica sorbent</t>
  </si>
  <si>
    <t>Co</t>
  </si>
  <si>
    <t>(Budnyak et al., 2020)</t>
  </si>
  <si>
    <t>https://pubs.acs.org/doi/full/10.1021/acsomega.0c00492</t>
  </si>
  <si>
    <t>Lignin-PNMA</t>
  </si>
  <si>
    <t>Ag</t>
  </si>
  <si>
    <t>(Lü et al., 2013)</t>
  </si>
  <si>
    <t>https://chemistry-europe.onlinelibrary.wiley.com/doi/10.1002/chem.201204113</t>
  </si>
  <si>
    <t>Zn- lignin biochar</t>
  </si>
  <si>
    <t>As</t>
  </si>
  <si>
    <t>(Park et al., 2021)</t>
  </si>
  <si>
    <t>https://www.sciencedirect.com/science/article/pii/S092777572100964X</t>
  </si>
  <si>
    <t>Activated lignin adsorbents</t>
  </si>
  <si>
    <t>(Huang et al., 2019)</t>
  </si>
  <si>
    <t>https://www.sciencedirect.com/science/article/pii/S0141813019362439</t>
  </si>
  <si>
    <t>Lignin-based spherical particles</t>
  </si>
  <si>
    <t>V</t>
  </si>
  <si>
    <t>(Stanisz et al., 2021)</t>
  </si>
  <si>
    <t>https://www.sciencedirect.com/science/article/pii/S0263876221002318</t>
  </si>
  <si>
    <t>FALA</t>
  </si>
  <si>
    <t>Cu</t>
  </si>
  <si>
    <t>(Wang et al., 2020a)</t>
  </si>
  <si>
    <t>https://link.springer.com/article/10.1007/s11270-020-04788-4</t>
  </si>
  <si>
    <t>Pb</t>
  </si>
  <si>
    <t>https://link.springer.com/article/10.1007/s11270-020-04788-5</t>
  </si>
  <si>
    <t>CFL</t>
  </si>
  <si>
    <t>(Jin et al., 2018)</t>
  </si>
  <si>
    <t>https://www.sciencedirect.com/science/article/pii/S0950061818306639</t>
  </si>
  <si>
    <t>https://www.sciencedirect.com/science/article/pii/S0950061818306640</t>
  </si>
  <si>
    <t>Mg2Al-LS-LDH</t>
  </si>
  <si>
    <t>(Huang et al., 2015)</t>
  </si>
  <si>
    <t>https://www.sciencedirect.com/science/article/pii/S0021979715000223</t>
  </si>
  <si>
    <t>https://www.sciencedirect.com/science/article/pii/S0021979715000224</t>
  </si>
  <si>
    <t>SLCA</t>
  </si>
  <si>
    <t>(Wang et al., 2021)</t>
  </si>
  <si>
    <t>https://www.sciencedirect.com/science/article/pii/S0045653521009747</t>
  </si>
  <si>
    <t>https://www.sciencedirect.com/science/article/pii/S0045653521009748</t>
  </si>
  <si>
    <t>PG/L/SA</t>
  </si>
  <si>
    <t>(Zhou et al., 2018)</t>
  </si>
  <si>
    <t>https://link.springer.com/article/10.1007/s11356-018-1733-8</t>
  </si>
  <si>
    <t>https://link.springer.com/article/10.1007/s11356-018-1733-9</t>
  </si>
  <si>
    <t>LPC</t>
  </si>
  <si>
    <t>(Wang et al., 2019a)</t>
  </si>
  <si>
    <t>https://www.sciencedirect.com/science/article/pii/S2468025719300184</t>
  </si>
  <si>
    <t>https://www.sciencedirect.com/science/article/pii/S2468025719300185</t>
  </si>
  <si>
    <t>CSL</t>
  </si>
  <si>
    <t>(Mu et al., 2020)</t>
  </si>
  <si>
    <t>https://www.sciencedirect.com/science/article/pii/S0141813020337120</t>
  </si>
  <si>
    <t>https://www.sciencedirect.com/science/article/pii/S0141813020337121</t>
  </si>
  <si>
    <t>GG/SLS</t>
  </si>
  <si>
    <t>(Li et al., 2021)</t>
  </si>
  <si>
    <t>https://www.sciencedirect.com/science/article/pii/S0141813021002890</t>
  </si>
  <si>
    <t>https://www.sciencedirect.com/science/article/pii/S0141813021002891</t>
  </si>
  <si>
    <t>CHL1</t>
  </si>
  <si>
    <t>(Wysokowski et al., 2014)</t>
  </si>
  <si>
    <t>https://www.mdpi.com/1660-3397/12/4/2245</t>
  </si>
  <si>
    <t>CHL2</t>
  </si>
  <si>
    <t>https://www.mdpi.com/1660-3397/12/4/2246</t>
  </si>
  <si>
    <t>PLCD</t>
  </si>
  <si>
    <t>(Qin et al., 2017)</t>
  </si>
  <si>
    <t>https://www.sciencedirect.com/science/article/pii/S0161589017305059</t>
  </si>
  <si>
    <t>Zn</t>
  </si>
  <si>
    <t>https://www.sciencedirect.com/science/article/pii/S0161589017305060</t>
  </si>
  <si>
    <t>https://www.sciencedirect.com/science/article/pii/S0161589017305061</t>
  </si>
  <si>
    <t>chitin/lignin adsorbents</t>
  </si>
  <si>
    <t>(Bartczak et al., 2017)</t>
  </si>
  <si>
    <t>http://sciencedirect.com/science/article/pii/S0301479717308617</t>
  </si>
  <si>
    <t>http://sciencedirect.com/science/article/pii/S0301479717308618</t>
  </si>
  <si>
    <t>http://sciencedirect.com/science/article/pii/S0301479717308619</t>
  </si>
  <si>
    <t>http://sciencedirect.com/science/article/pii/S0301479717308620</t>
  </si>
  <si>
    <t>PAA-g-APL</t>
  </si>
  <si>
    <t>(Liu et al., 2020a)</t>
  </si>
  <si>
    <t>https://www.sciencedirect.com/science/article/pii/S0304389420301965</t>
  </si>
  <si>
    <t>https://www.sciencedirect.com/science/article/pii/S0304389420301966</t>
  </si>
  <si>
    <t>https://www.sciencedirect.com/science/article/pii/S0304389420301967</t>
  </si>
  <si>
    <t>A-LMS-5</t>
  </si>
  <si>
    <t>(Popovic et al., 2020)</t>
  </si>
  <si>
    <t>https://pubs.rsc.org/en/content/articlehtml/2020/ra/d0ra03439h</t>
  </si>
  <si>
    <t>A-LMS-6</t>
  </si>
  <si>
    <t>A-LMS-7</t>
  </si>
  <si>
    <t>A-LMS-8</t>
  </si>
  <si>
    <t>Sulfo-methylated lignin-grafted-polyacrylic acid</t>
  </si>
  <si>
    <r>
      <rPr>
        <u/>
        <sz val="11"/>
        <color rgb="FF2E2E2E"/>
        <rFont val="Arial"/>
      </rPr>
      <t>Jiao et al., 2022</t>
    </r>
    <r>
      <rPr>
        <sz val="11"/>
        <color rgb="FF2E2E2E"/>
        <rFont val="Arial"/>
      </rPr>
      <t xml:space="preserve"> </t>
    </r>
  </si>
  <si>
    <t>https://www.sciencedirect.com/science/article/pii/S0304389421016873</t>
  </si>
  <si>
    <t xml:space="preserve">Jiao et al., 2022 </t>
  </si>
  <si>
    <t>https://www.sciencedirect.com/science/article/pii/S0304389421016874</t>
  </si>
  <si>
    <t>https://www.sciencedirect.com/science/article/pii/S0304389421016875</t>
  </si>
  <si>
    <t>https://www.sciencedirect.com/science/article/pii/S0304389421016876</t>
  </si>
  <si>
    <t>https://www.sciencedirect.com/science/article/pii/S0304389421016877</t>
  </si>
  <si>
    <t>Peanut shell (PS650)</t>
  </si>
  <si>
    <t>(Zama et al., 2017)</t>
  </si>
  <si>
    <t>https://www.sciencedirect.com/science/article/pii/S0959652617301403</t>
  </si>
  <si>
    <t>Buckwheat husk (BWH350)</t>
  </si>
  <si>
    <t>https://www.sciencedirect.com/science/article/pii/S0959652617301404</t>
  </si>
  <si>
    <t>https://www.sciencedirect.com/science/article/pii/S0959652617301405</t>
  </si>
  <si>
    <t>Buckwheat husk(BWH450)</t>
  </si>
  <si>
    <t>https://www.sciencedirect.com/science/article/pii/S0959652617301406</t>
  </si>
  <si>
    <t>https://www.sciencedirect.com/science/article/pii/S0959652617301407</t>
  </si>
  <si>
    <t>https://www.sciencedirect.com/science/article/pii/S0959652617301408</t>
  </si>
  <si>
    <t>Buckwheat husk(BWH550)</t>
  </si>
  <si>
    <t>https://www.sciencedirect.com/science/article/pii/S0959652617301409</t>
  </si>
  <si>
    <t>https://www.sciencedirect.com/science/article/pii/S0959652617301410</t>
  </si>
  <si>
    <t>https://www.sciencedirect.com/science/article/pii/S0959652617301411</t>
  </si>
  <si>
    <t>Buckwheat husk(BWH650)</t>
  </si>
  <si>
    <t>https://www.sciencedirect.com/science/article/pii/S0959652617301412</t>
  </si>
  <si>
    <t>https://www.sciencedirect.com/science/article/pii/S0959652617301413</t>
  </si>
  <si>
    <t>https://www.sciencedirect.com/science/article/pii/S0959652617301414</t>
  </si>
  <si>
    <t>Corncobs(CC350)</t>
  </si>
  <si>
    <t>https://www.sciencedirect.com/science/article/pii/S0048969720305246</t>
  </si>
  <si>
    <t>https://www.sciencedirect.com/science/article/pii/S0048969720305247</t>
  </si>
  <si>
    <t>https://www.sciencedirect.com/science/article/pii/S0048969720305248</t>
  </si>
  <si>
    <t>Corncobs(CC450)</t>
  </si>
  <si>
    <t>https://www.sciencedirect.com/science/article/pii/S0048969720305249</t>
  </si>
  <si>
    <t>https://www.sciencedirect.com/science/article/pii/S0048969720305250</t>
  </si>
  <si>
    <t>Corncobs(CC550)</t>
  </si>
  <si>
    <t>https://www.sciencedirect.com/science/article/pii/S0048969720305251</t>
  </si>
  <si>
    <t>https://www.sciencedirect.com/science/article/pii/S0048969720305252</t>
  </si>
  <si>
    <t>https://www.sciencedirect.com/science/article/pii/S0048969720305253</t>
  </si>
  <si>
    <t>Corncobs(CC650)</t>
  </si>
  <si>
    <t>https://www.sciencedirect.com/science/article/pii/S0048969720305254</t>
  </si>
  <si>
    <t>https://www.sciencedirect.com/science/article/pii/S0048969720305255</t>
  </si>
  <si>
    <t>https://www.sciencedirect.com/science/article/pii/S0048969720305256</t>
  </si>
  <si>
    <t>Mulberry wood (MW550)</t>
  </si>
  <si>
    <t>https://www.academia.edu/34614277/The_role_of_biochar_properties_in_influencing_the_sorption_and_desorption_of_Pb_II_Cd_II_and_As_III_in_aqueous_solution</t>
  </si>
  <si>
    <t>Mulberry wood(MW350)</t>
  </si>
  <si>
    <t>Mulberry wood(MW650)</t>
  </si>
  <si>
    <t>Peanut shell (PS550)</t>
  </si>
  <si>
    <t>Peanut shell(PS350)</t>
  </si>
  <si>
    <t>Peanut shell(PS450)</t>
  </si>
  <si>
    <t>Canna indica (CI300)</t>
  </si>
  <si>
    <t>(Cui et al., 2016a)</t>
  </si>
  <si>
    <t>https://www.sciencedirect.com/science/article/pii/S0048969716306337</t>
  </si>
  <si>
    <t>Canna indica(CI500)</t>
  </si>
  <si>
    <t>https://www.sciencedirect.com/science/article/pii/S0048969716306338</t>
  </si>
  <si>
    <t>https://www.sciencedirect.com/science/article/pii/S0048969716306339</t>
  </si>
  <si>
    <t>Canna indica(CI600)</t>
  </si>
  <si>
    <t>https://www.sciencedirect.com/science/article/pii/S0048969716306340</t>
  </si>
  <si>
    <t>https://www.sciencedirect.com/science/article/pii/S0048969716306341</t>
  </si>
  <si>
    <t>https://www.sciencedirect.com/science/article/pii/S0048969716306342</t>
  </si>
  <si>
    <t>https://www.sciencedirect.com/science/article/pii/S0048969716306343</t>
  </si>
  <si>
    <t>https://www.sciencedirect.com/science/article/pii/S0048969716306344</t>
  </si>
  <si>
    <t>https://www.sciencedirect.com/science/article/pii/S0048969716306345</t>
  </si>
  <si>
    <t>Canna indica(CI400)</t>
  </si>
  <si>
    <t>https://www.sciencedirect.com/science/article/pii/S0048969716306346</t>
  </si>
  <si>
    <t>https://www.sciencedirect.com/science/article/pii/S0048969716306347</t>
  </si>
  <si>
    <t>https://www.sciencedirect.com/science/article/pii/S0048969716306348</t>
  </si>
  <si>
    <t>https://www.sciencedirect.com/science/article/pii/S0048969716306349</t>
  </si>
  <si>
    <t>https://www.sciencedirect.com/science/article/pii/S0048969716306350</t>
  </si>
  <si>
    <t>https://www.sciencedirect.com/science/article/pii/S0048969716306351</t>
  </si>
  <si>
    <t>https://www.sciencedirect.com/science/article/pii/S0048969716306352</t>
  </si>
  <si>
    <t>https://www.sciencedirect.com/science/article/pii/S0048969716306353</t>
  </si>
  <si>
    <t>https://www.sciencedirect.com/science/article/pii/S0048969716306354</t>
  </si>
  <si>
    <t>https://www.sciencedirect.com/science/article/pii/S0048969716306355</t>
  </si>
  <si>
    <t>https://www.sciencedirect.com/science/article/pii/S0048969716306356</t>
  </si>
  <si>
    <t>https://www.sciencedirect.com/science/article/pii/S0048969716306357</t>
  </si>
  <si>
    <t>https://www.sciencedirect.com/science/article/pii/S0048969716306358</t>
  </si>
  <si>
    <t>https://www.sciencedirect.com/science/article/pii/S0048969716306359</t>
  </si>
  <si>
    <t>https://www.sciencedirect.com/science/article/pii/S0048969716306360</t>
  </si>
  <si>
    <t>Vetiveria zizanioides(VZ500)</t>
  </si>
  <si>
    <t>(Cui et al., 2016b)</t>
  </si>
  <si>
    <t>https://www.scopus.com/record/display.uri?eid=2-s2.0-84942067031&amp;origin=recordpage</t>
  </si>
  <si>
    <t>Phragmites australis(PA500)</t>
  </si>
  <si>
    <t>Zizania caduciflora(ZC500)</t>
  </si>
  <si>
    <t>ThaliaDealbata(TD500)</t>
  </si>
  <si>
    <t>Rice straw(RS300)</t>
  </si>
  <si>
    <t>(Gao et al., 2019)</t>
  </si>
  <si>
    <t>https://www.sciencedirect.com/science/article/pii/S0960852418313993</t>
  </si>
  <si>
    <t>Rice straw(RS500)</t>
  </si>
  <si>
    <t>https://www.sciencedirect.com/science/article/pii/S0960852418313994</t>
  </si>
  <si>
    <t>https://www.sciencedirect.com/science/article/pii/S0960852418313995</t>
  </si>
  <si>
    <t>https://www.sciencedirect.com/science/article/pii/S0960852418313996</t>
  </si>
  <si>
    <t>https://www.sciencedirect.com/science/article/pii/S0960852418313997</t>
  </si>
  <si>
    <t>Rice straw(RS700)</t>
  </si>
  <si>
    <t>https://www.sciencedirect.com/science/article/pii/S0960852418313998</t>
  </si>
  <si>
    <t>https://www.sciencedirect.com/science/article/pii/S0960852418313999</t>
  </si>
  <si>
    <t>https://www.sciencedirect.com/science/article/pii/S0960852418314000</t>
  </si>
  <si>
    <t>https://www.sciencedirect.com/science/article/pii/S0960852418314001</t>
  </si>
  <si>
    <t>https://www.sciencedirect.com/science/article/pii/S0960852418314002</t>
  </si>
  <si>
    <t>https://www.sciencedirect.com/science/article/pii/S0960852418314003</t>
  </si>
  <si>
    <t>https://www.sciencedirect.com/science/article/pii/S0960852418314004</t>
  </si>
  <si>
    <t>https://www.sciencedirect.com/science/article/pii/S0960852418314005</t>
  </si>
  <si>
    <t>https://www.sciencedirect.com/science/article/pii/S0960852418314006</t>
  </si>
  <si>
    <t>https://www.sciencedirect.com/science/article/pii/S0960852418314007</t>
  </si>
  <si>
    <t>https://www.sciencedirect.com/science/article/pii/S0960852418314008</t>
  </si>
  <si>
    <t>https://www.sciencedirect.com/science/article/pii/S0960852418314009</t>
  </si>
  <si>
    <t>https://www.sciencedirect.com/science/article/pii/S0960852418314010</t>
  </si>
  <si>
    <t>https://www.sciencedirect.com/science/article/pii/S0960852418314011</t>
  </si>
  <si>
    <t>https://www.sciencedirect.com/science/article/pii/S0960852418314012</t>
  </si>
  <si>
    <t>https://www.sciencedirect.com/science/article/pii/S0960852418314013</t>
  </si>
  <si>
    <t>https://www.sciencedirect.com/science/article/pii/S0960852418314014</t>
  </si>
  <si>
    <t>https://www.sciencedirect.com/science/article/pii/S0960852418314015</t>
  </si>
  <si>
    <t>https://www.sciencedirect.com/science/article/pii/S0960852418314016</t>
  </si>
  <si>
    <t>https://www.sciencedirect.com/science/article/pii/S0960852418314017</t>
  </si>
  <si>
    <t>https://www.sciencedirect.com/science/article/pii/S0960852418314018</t>
  </si>
  <si>
    <t>https://www.sciencedirect.com/science/article/pii/S0960852418314019</t>
  </si>
  <si>
    <t>https://www.sciencedirect.com/science/article/pii/S0960852418314020</t>
  </si>
  <si>
    <t>https://www.sciencedirect.com/science/article/pii/S0960852418314021</t>
  </si>
  <si>
    <t>https://www.sciencedirect.com/science/article/pii/S0960852418314022</t>
  </si>
  <si>
    <t>https://www.sciencedirect.com/science/article/pii/S0960852418314023</t>
  </si>
  <si>
    <t>https://www.sciencedirect.com/science/article/pii/S0960852418314024</t>
  </si>
  <si>
    <t>https://www.sciencedirect.com/science/article/pii/S0960852418314025</t>
  </si>
  <si>
    <t>https://www.sciencedirect.com/science/article/pii/S0960852418314026</t>
  </si>
  <si>
    <t>https://www.sciencedirect.com/science/article/pii/S0960852418314027</t>
  </si>
  <si>
    <t>https://www.sciencedirect.com/science/article/pii/S0960852418314028</t>
  </si>
  <si>
    <t>https://www.sciencedirect.com/science/article/pii/S0960852418314029</t>
  </si>
  <si>
    <t>https://www.sciencedirect.com/science/article/pii/S0960852418314030</t>
  </si>
  <si>
    <t>https://www.sciencedirect.com/science/article/pii/S0960852418314031</t>
  </si>
  <si>
    <t>https://www.sciencedirect.com/science/article/pii/S0960852418314032</t>
  </si>
  <si>
    <t>https://www.sciencedirect.com/science/article/pii/S0960852418314033</t>
  </si>
  <si>
    <t>https://www.sciencedirect.com/science/article/pii/S0960852418314034</t>
  </si>
  <si>
    <t>https://www.sciencedirect.com/science/article/pii/S0960852418314035</t>
  </si>
  <si>
    <t>https://www.sciencedirect.com/science/article/pii/S0960852418314036</t>
  </si>
  <si>
    <t>https://www.sciencedirect.com/science/article/pii/S0960852418314037</t>
  </si>
  <si>
    <t>https://www.sciencedirect.com/science/article/pii/S0960852418314038</t>
  </si>
  <si>
    <t>https://www.sciencedirect.com/science/article/pii/S0960852418314039</t>
  </si>
  <si>
    <t>https://www.sciencedirect.com/science/article/pii/S0960852418314040</t>
  </si>
  <si>
    <t>Plum stones (PS600)</t>
  </si>
  <si>
    <t>(Trakal et al., 2014)</t>
  </si>
  <si>
    <t>https://www.sciencedirect.com/science/article/pii/S0960852414012243?via%3Dihub</t>
  </si>
  <si>
    <t>Grape stalks (GS600)</t>
  </si>
  <si>
    <t>Grape husks (GH600)</t>
  </si>
  <si>
    <t>Wheat straws(WS600)</t>
  </si>
  <si>
    <t>Nut shells (NS600)</t>
  </si>
  <si>
    <t>Rice husk(RH550)</t>
  </si>
  <si>
    <t>(Shen et al., 2017b)</t>
  </si>
  <si>
    <t>https://link.springer.com/article/10.1007/s11356-017-8847-2?utm_source=getftr&amp;utm_medium=getftr&amp;utm_campaign=getftr_pilot&amp;getft_integrator=scopus</t>
  </si>
  <si>
    <t>wheat straw pellets(WSP700)</t>
  </si>
  <si>
    <t>wheat straw pellets(WSP550)</t>
  </si>
  <si>
    <t>Rice husk(RH700)</t>
  </si>
  <si>
    <t>Rice Husk (RH600)</t>
  </si>
  <si>
    <t>(Li et al., 2018)</t>
  </si>
  <si>
    <t>https://www.sciencedirect.com/science/article/pii/S0960852418313312</t>
  </si>
  <si>
    <t>Wheat straw(WS600)</t>
  </si>
  <si>
    <t xml:space="preserve">https://www.sciencedirect.com/science/article/pii/S0960852418313313 </t>
  </si>
  <si>
    <t>https://www.sciencedirect.com/science/article/pii/S0960852418313314</t>
  </si>
  <si>
    <t>https://www.sciencedirect.com/science/article/pii/S0960852418313315</t>
  </si>
  <si>
    <t>https://www.sciencedirect.com/science/article/pii/S0960852418313316</t>
  </si>
  <si>
    <t>https://www.sciencedirect.com/science/article/pii/S0960852418313317</t>
  </si>
  <si>
    <t>https://www.sciencedirect.com/science/article/pii/S0960852418313318</t>
  </si>
  <si>
    <t>https://www.sciencedirect.com/science/article/pii/S0960852418313319</t>
  </si>
  <si>
    <t>https://www.sciencedirect.com/science/article/pii/S0960852418313320</t>
  </si>
  <si>
    <t>https://www.sciencedirect.com/science/article/pii/S0960852418313321</t>
  </si>
  <si>
    <t>https://www.sciencedirect.com/science/article/pii/S0960852418313322</t>
  </si>
  <si>
    <t>https://www.sciencedirect.com/science/article/pii/S0960852418313323</t>
  </si>
  <si>
    <t>https://www.sciencedirect.com/science/article/pii/S0960852418313324</t>
  </si>
  <si>
    <t>https://www.sciencedirect.com/science/article/pii/S0960852418313325</t>
  </si>
  <si>
    <t>https://www.sciencedirect.com/science/article/pii/S0960852414012243</t>
  </si>
  <si>
    <t>https://www.sciencedirect.com/science/article/pii/S0960852414012244</t>
  </si>
  <si>
    <t>https://www.sciencedirect.com/science/article/pii/S0960852414012245</t>
  </si>
  <si>
    <t>https://www.sciencedirect.com/science/article/pii/S0960852414012246</t>
  </si>
  <si>
    <t>https://www.sciencedirect.com/science/article/pii/S0960852414012247</t>
  </si>
  <si>
    <t>https://www.sciencedirect.com/science/article/pii/S0959652617301415</t>
  </si>
  <si>
    <t>https://www.sciencedirect.com/science/article/pii/S0959652617301416</t>
  </si>
  <si>
    <t>https://www.sciencedirect.com/science/article/pii/S0959652617301417</t>
  </si>
  <si>
    <t>https://www.sciencedirect.com/science/article/pii/S0959652617301418</t>
  </si>
  <si>
    <t>https://www.sciencedirect.com/science/article/pii/S0959652617301419</t>
  </si>
  <si>
    <t>https://www.sciencedirect.com/science/article/pii/S0959652617301420</t>
  </si>
  <si>
    <t>https://www.sciencedirect.com/science/article/pii/S0959652617301421</t>
  </si>
  <si>
    <t>https://www.sciencedirect.com/science/article/pii/S0959652617301422</t>
  </si>
  <si>
    <t>https://www.sciencedirect.com/science/article/pii/S0959652617301423</t>
  </si>
  <si>
    <t>https://www.sciencedirect.com/science/article/pii/S0959652617301424</t>
  </si>
  <si>
    <t>https://www.sciencedirect.com/science/article/pii/S0959652617301425</t>
  </si>
  <si>
    <t>https://www.sciencedirect.com/science/article/pii/S0959652617301426</t>
  </si>
  <si>
    <t>https://www.sciencedirect.com/science/article/pii/S0959652617301427</t>
  </si>
  <si>
    <t>https://www.sciencedirect.com/science/article/pii/S0959652617301428</t>
  </si>
  <si>
    <t>https://www.sciencedirect.com/science/article/pii/S0959652617301429</t>
  </si>
  <si>
    <t>https://www.sciencedirect.com/science/article/pii/S0959652617301430</t>
  </si>
  <si>
    <t>https://www.sciencedirect.com/science/article/pii/S0959652617301431</t>
  </si>
  <si>
    <t>https://www.sciencedirect.com/science/article/pii/S0959652617301432</t>
  </si>
  <si>
    <t>Mulberry wood(MW450)</t>
  </si>
  <si>
    <t>https://www.sciencedirect.com/science/article/pii/S0959652617301433</t>
  </si>
  <si>
    <t>https://www.sciencedirect.com/science/article/pii/S0959652617301434</t>
  </si>
  <si>
    <t>https://www.sciencedirect.com/science/article/pii/S0959652617301435</t>
  </si>
  <si>
    <t>https://www.sciencedirect.com/science/article/pii/S0959652617301436</t>
  </si>
  <si>
    <t>https://www.sciencedirect.com/science/article/pii/S0959652617301437</t>
  </si>
  <si>
    <t>https://www.sciencedirect.com/science/article/pii/S0959652617301438</t>
  </si>
  <si>
    <t>https://www.sciencedirect.com/science/article/pii/S0959652617301439</t>
  </si>
  <si>
    <t>https://www.sciencedirect.com/science/article/pii/S0959652617301440</t>
  </si>
  <si>
    <t>https://www.sciencedirect.com/science/article/pii/S0959652617301441</t>
  </si>
  <si>
    <t>https://www.sciencedirect.com/science/article/pii/S0959652617301442</t>
  </si>
  <si>
    <t>https://www.sciencedirect.com/science/article/pii/S0959652617301443</t>
  </si>
  <si>
    <t>https://www.sciencedirect.com/science/article/pii/S0959652617301444</t>
  </si>
  <si>
    <t>https://www.sciencedirect.com/science/article/pii/S0959652617301445</t>
  </si>
  <si>
    <t>https://www.sciencedirect.com/science/article/pii/S0959652617301446</t>
  </si>
  <si>
    <t xml:space="preserve">https://www.sciencedirect.com/science/article/pii/S0959652617301447 </t>
  </si>
  <si>
    <t>https://www.sciencedirect.com/science/article/pii/S0959652617301448</t>
  </si>
  <si>
    <t xml:space="preserve">https://www.sciencedirect.com/science/article/pii/S0959652617301449 </t>
  </si>
  <si>
    <t>https://www.sciencedirect.com/science/article/pii/S0959652617301450</t>
  </si>
  <si>
    <t>Pine wood chips (PWC700)</t>
  </si>
  <si>
    <t>(Jiang et al., 2016)</t>
  </si>
  <si>
    <t>https://www.sciencedirect.com/science/article/pii/S0045653515006992</t>
  </si>
  <si>
    <t>Jarrah wood chips (JWC700)</t>
  </si>
  <si>
    <t>https://www.sciencedirect.com/science/article/pii/S0045653515006993</t>
  </si>
  <si>
    <t>https://www.sciencedirect.com/science/article/pii/S0045653515006994</t>
  </si>
  <si>
    <t>https://www.sciencedirect.com/science/article/pii/S0045653515006995</t>
  </si>
  <si>
    <t>https://www.sciencedirect.com/science/article/pii/S0045653515006996</t>
  </si>
  <si>
    <t>https://www.sciencedirect.com/science/article/pii/S0045653515006997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</si>
</sst>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b/>
      <sz val="12"/>
      <color theme="1"/>
      <name val="Times New Roman"/>
    </font>
    <font>
      <b/>
      <sz val="11"/>
      <color rgb="FF2E2E2E"/>
      <name val="ElsevierGulliver"/>
    </font>
    <font>
      <sz val="11"/>
      <color rgb="FF2E2E2E"/>
      <name val="Arial"/>
    </font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C7DBB"/>
      <name val="Arial"/>
    </font>
    <font>
      <u/>
      <sz val="12"/>
      <color rgb="FF00FF00"/>
      <name val="Arial"/>
    </font>
    <font>
      <sz val="10"/>
      <color rgb="FF00FF00"/>
      <name val="Arial"/>
      <scheme val="minor"/>
    </font>
    <font>
      <b/>
      <sz val="11"/>
      <color rgb="FF000000"/>
      <name val="ElsevierGulliver"/>
    </font>
    <font>
      <u/>
      <sz val="10"/>
      <color rgb="FF00FF0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6AA84F"/>
      <name val="Arial"/>
      <scheme val="minor"/>
    </font>
    <font>
      <sz val="11"/>
      <color rgb="FF6AA84F"/>
      <name val="Arial"/>
    </font>
    <font>
      <u/>
      <sz val="10"/>
      <color rgb="FF00FF00"/>
      <name val="Arial"/>
    </font>
    <font>
      <sz val="10"/>
      <color rgb="FF38761D"/>
      <name val="Arial"/>
      <scheme val="minor"/>
    </font>
    <font>
      <sz val="11"/>
      <color rgb="FF38761D"/>
      <name val="Arial"/>
    </font>
    <font>
      <u/>
      <sz val="12"/>
      <color rgb="FF3C78D8"/>
      <name val="Arial"/>
    </font>
    <font>
      <sz val="12"/>
      <color rgb="FF3C78D8"/>
      <name val="Arial"/>
    </font>
    <font>
      <u/>
      <sz val="12"/>
      <color rgb="FF3C78D8"/>
      <name val="Monospace"/>
    </font>
    <font>
      <sz val="11"/>
      <color rgb="FF000000"/>
      <name val="Arial"/>
    </font>
    <font>
      <u/>
      <sz val="12"/>
      <color rgb="FF3C78D8"/>
      <name val="Monospace"/>
    </font>
    <font>
      <b/>
      <sz val="11"/>
      <color rgb="FF2E2E2E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i/>
      <sz val="11"/>
      <color rgb="FF000000"/>
      <name val="Arial"/>
    </font>
    <font>
      <u/>
      <sz val="10"/>
      <color rgb="FF00FF00"/>
      <name val="Arial"/>
    </font>
    <font>
      <sz val="11"/>
      <color rgb="FF2E2E2E"/>
      <name val="ElsevierGulliver"/>
    </font>
    <font>
      <u/>
      <sz val="11"/>
      <color rgb="FF0C7DBB"/>
      <name val="Arial"/>
    </font>
    <font>
      <u/>
      <sz val="11"/>
      <color rgb="FF0C7DBB"/>
      <name val="Arial"/>
    </font>
    <font>
      <b/>
      <sz val="11"/>
      <color rgb="FF000000"/>
      <name val="Arial"/>
    </font>
    <font>
      <u/>
      <sz val="10"/>
      <color rgb="FF0000FF"/>
      <name val="Arial"/>
    </font>
    <font>
      <u/>
      <sz val="11"/>
      <color rgb="FF0C7DBB"/>
      <name val="Arial"/>
    </font>
    <font>
      <u/>
      <sz val="11"/>
      <color rgb="FF0C7DBB"/>
      <name val="Arial"/>
    </font>
    <font>
      <u/>
      <sz val="11"/>
      <color rgb="FF2E2E2E"/>
      <name val="Arial"/>
    </font>
    <font>
      <u/>
      <sz val="12"/>
      <color rgb="FF000000"/>
      <name val="Monospace"/>
    </font>
    <font>
      <sz val="12"/>
      <color rgb="FF000000"/>
      <name val="Monospace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2"/>
      <color rgb="FF6D9EEB"/>
      <name val="Monospace"/>
    </font>
    <font>
      <sz val="12"/>
      <color rgb="FF3C78D8"/>
      <name val="Monospace"/>
    </font>
    <font>
      <sz val="12"/>
      <color rgb="FFEEF0FF"/>
      <name val="Monospace"/>
    </font>
    <font>
      <u/>
      <sz val="10"/>
      <color rgb="FF0000FF"/>
      <name val="Arial"/>
    </font>
    <font>
      <sz val="11"/>
      <color rgb="FF1F1F1F"/>
      <name val="Arial"/>
    </font>
    <font>
      <b/>
      <sz val="11"/>
      <color rgb="FF1F1F1F"/>
      <name val="Arial"/>
    </font>
    <font>
      <u/>
      <sz val="11"/>
      <color rgb="FF2E2E2E"/>
      <name val="Arial"/>
    </font>
    <font>
      <u/>
      <sz val="11"/>
      <color rgb="FF2E2E2E"/>
      <name val="Arial"/>
    </font>
    <font>
      <b/>
      <sz val="11"/>
      <color rgb="FF70AD47"/>
      <name val="ElsevierGulliver"/>
    </font>
    <font>
      <sz val="11"/>
      <color rgb="FF70AD47"/>
      <name val="Arial"/>
    </font>
    <font>
      <sz val="11"/>
      <color rgb="FF70AD47"/>
      <name val="ElsevierGulliver"/>
    </font>
    <font>
      <sz val="10"/>
      <color rgb="FF70AD47"/>
      <name val="Arial"/>
      <scheme val="minor"/>
    </font>
    <font>
      <u/>
      <sz val="11"/>
      <color rgb="FF70AD47"/>
      <name val="ElsevierGulliver"/>
    </font>
    <font>
      <u/>
      <sz val="12"/>
      <color rgb="FF70AD47"/>
      <name val="Monospace"/>
    </font>
    <font>
      <u/>
      <sz val="11"/>
      <color rgb="FF2E2E2E"/>
      <name val="ElsevierGulliver"/>
    </font>
    <font>
      <sz val="12"/>
      <color rgb="FF1F1F1F"/>
      <name val="Arial"/>
    </font>
    <font>
      <sz val="10"/>
      <color rgb="FF222222"/>
      <name val="Arial"/>
    </font>
    <font>
      <sz val="12"/>
      <color rgb="FF000000"/>
      <name val="&quot;Source Sans Pro&quot;"/>
    </font>
    <font>
      <sz val="10"/>
      <color rgb="FF333333"/>
      <name val="Georgia"/>
    </font>
    <font>
      <sz val="12"/>
      <color rgb="FF333333"/>
      <name val="Georgia"/>
    </font>
    <font>
      <sz val="10"/>
      <color rgb="FF000000"/>
      <name val="Roboto"/>
    </font>
    <font>
      <u/>
      <sz val="11"/>
      <color rgb="FF2E2E2E"/>
      <name val="ElsevierGulliver"/>
    </font>
    <font>
      <sz val="10"/>
      <color rgb="FF000000"/>
      <name val="Arial"/>
    </font>
    <font>
      <b/>
      <sz val="11"/>
      <color rgb="FF000000"/>
      <name val="&quot;Times New Roman&quot;"/>
    </font>
    <font>
      <sz val="11"/>
      <color rgb="FF000000"/>
      <name val="&quot;Times New Roman&quot;"/>
    </font>
    <font>
      <sz val="12"/>
      <color rgb="FF000000"/>
      <name val="Calibri"/>
    </font>
    <font>
      <u/>
      <sz val="12"/>
      <color rgb="FF3D85C6"/>
      <name val="Monospace"/>
    </font>
    <font>
      <sz val="12"/>
      <color rgb="FF3D85C6"/>
      <name val="Monospace"/>
    </font>
    <font>
      <u/>
      <sz val="12"/>
      <color rgb="FF3C78D8"/>
      <name val="Monospace"/>
    </font>
    <font>
      <u/>
      <sz val="12"/>
      <color rgb="FF3D85C6"/>
      <name val="Monospace"/>
    </font>
    <font>
      <u/>
      <sz val="12"/>
      <color rgb="FF3C78D8"/>
      <name val="Monospace"/>
    </font>
    <font>
      <u/>
      <sz val="10"/>
      <color rgb="FF0000FF"/>
      <name val="Arial"/>
    </font>
    <font>
      <u/>
      <sz val="12"/>
      <color rgb="FF1155CC"/>
      <name val="Monospace"/>
    </font>
    <font>
      <u/>
      <sz val="12"/>
      <color rgb="FF1155CC"/>
      <name val="Arial"/>
    </font>
    <font>
      <sz val="12"/>
      <color rgb="FF1155CC"/>
      <name val="Monospace"/>
    </font>
    <font>
      <u/>
      <sz val="12"/>
      <color rgb="FF0B5394"/>
      <name val="Monospace"/>
    </font>
    <font>
      <sz val="12"/>
      <color rgb="FF0B5394"/>
      <name val="Monospace"/>
    </font>
    <font>
      <u/>
      <sz val="12"/>
      <color rgb="FF0000FF"/>
      <name val="Arial"/>
    </font>
    <font>
      <u/>
      <sz val="12"/>
      <color rgb="FF0B5394"/>
      <name val="Arial"/>
    </font>
    <font>
      <u/>
      <sz val="10"/>
      <color rgb="FF1155CC"/>
      <name val="Arial"/>
    </font>
    <font>
      <sz val="10"/>
      <color theme="1"/>
      <name val="Arial"/>
    </font>
    <font>
      <sz val="11"/>
      <color rgb="FF93C47D"/>
      <name val="Arial"/>
    </font>
    <font>
      <sz val="10"/>
      <color rgb="FF00FF00"/>
      <name val="Arial"/>
    </font>
    <font>
      <sz val="11"/>
      <color rgb="FF00FF00"/>
      <name val="Arial"/>
    </font>
    <font>
      <u/>
      <sz val="11"/>
      <color rgb="FF00FF00"/>
      <name val="Arial"/>
    </font>
    <font>
      <u/>
      <sz val="11"/>
      <color rgb="FF000000"/>
      <name val="Arial"/>
    </font>
    <font>
      <sz val="10"/>
      <color rgb="FF93C47D"/>
      <name val="Arial"/>
    </font>
    <font>
      <sz val="10"/>
      <color rgb="FF6AA84F"/>
      <name val="Arial"/>
    </font>
  </fonts>
  <fills count="1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  <fill>
      <patternFill patternType="solid">
        <fgColor rgb="FFD5A6BD"/>
        <bgColor rgb="FFD5A6BD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70AD47"/>
      </left>
      <right style="thin">
        <color rgb="FF70AD47"/>
      </right>
      <top style="thin">
        <color rgb="FF000000"/>
      </top>
      <bottom style="thin">
        <color rgb="FF70AD47"/>
      </bottom>
      <diagonal/>
    </border>
    <border>
      <left/>
      <right style="thin">
        <color rgb="FF70AD47"/>
      </right>
      <top style="thin">
        <color rgb="FF000000"/>
      </top>
      <bottom style="thin">
        <color rgb="FF70AD47"/>
      </bottom>
      <diagonal/>
    </border>
    <border>
      <left/>
      <right/>
      <top style="thin">
        <color rgb="FF969696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top"/>
    </xf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6" fillId="4" borderId="0" xfId="0" applyFont="1" applyFill="1" applyAlignment="1">
      <alignment horizontal="left"/>
    </xf>
    <xf numFmtId="0" fontId="7" fillId="3" borderId="0" xfId="0" applyFont="1" applyFill="1" applyAlignment="1">
      <alignment horizontal="left" vertical="top"/>
    </xf>
    <xf numFmtId="0" fontId="8" fillId="5" borderId="0" xfId="0" applyFont="1" applyFill="1" applyAlignment="1">
      <alignment horizontal="left"/>
    </xf>
    <xf numFmtId="0" fontId="9" fillId="0" borderId="0" xfId="0" applyFont="1"/>
    <xf numFmtId="0" fontId="10" fillId="3" borderId="0" xfId="0" applyFont="1" applyFill="1" applyAlignment="1">
      <alignment horizontal="center" vertical="top"/>
    </xf>
    <xf numFmtId="0" fontId="4" fillId="4" borderId="0" xfId="0" applyFont="1" applyFill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3" fillId="6" borderId="0" xfId="0" applyFont="1" applyFill="1" applyAlignment="1">
      <alignment horizontal="center" vertical="top"/>
    </xf>
    <xf numFmtId="0" fontId="4" fillId="6" borderId="0" xfId="0" applyFont="1" applyFill="1" applyAlignment="1">
      <alignment horizontal="left" vertical="top"/>
    </xf>
    <xf numFmtId="0" fontId="5" fillId="6" borderId="0" xfId="0" applyFont="1" applyFill="1" applyAlignment="1">
      <alignment horizontal="left"/>
    </xf>
    <xf numFmtId="0" fontId="6" fillId="6" borderId="0" xfId="0" applyFont="1" applyFill="1" applyAlignment="1">
      <alignment horizontal="left"/>
    </xf>
    <xf numFmtId="0" fontId="7" fillId="6" borderId="0" xfId="0" applyFont="1" applyFill="1" applyAlignment="1">
      <alignment horizontal="left" vertical="top"/>
    </xf>
    <xf numFmtId="0" fontId="13" fillId="6" borderId="0" xfId="0" applyFont="1" applyFill="1"/>
    <xf numFmtId="0" fontId="6" fillId="6" borderId="0" xfId="0" applyFont="1" applyFill="1"/>
    <xf numFmtId="0" fontId="14" fillId="3" borderId="0" xfId="0" applyFont="1" applyFill="1" applyAlignment="1">
      <alignment horizontal="left"/>
    </xf>
    <xf numFmtId="0" fontId="15" fillId="3" borderId="0" xfId="0" applyFont="1" applyFill="1" applyAlignment="1">
      <alignment horizontal="left" vertical="top"/>
    </xf>
    <xf numFmtId="0" fontId="16" fillId="0" borderId="0" xfId="0" applyFont="1"/>
    <xf numFmtId="0" fontId="6" fillId="0" borderId="0" xfId="0" applyFont="1"/>
    <xf numFmtId="0" fontId="17" fillId="3" borderId="0" xfId="0" applyFont="1" applyFill="1" applyAlignment="1">
      <alignment horizontal="left"/>
    </xf>
    <xf numFmtId="0" fontId="18" fillId="3" borderId="0" xfId="0" applyFont="1" applyFill="1" applyAlignment="1">
      <alignment horizontal="left" vertical="top"/>
    </xf>
    <xf numFmtId="0" fontId="5" fillId="7" borderId="0" xfId="0" applyFont="1" applyFill="1" applyAlignment="1">
      <alignment horizontal="left"/>
    </xf>
    <xf numFmtId="0" fontId="19" fillId="5" borderId="0" xfId="0" applyFont="1" applyFill="1" applyAlignment="1">
      <alignment horizontal="left"/>
    </xf>
    <xf numFmtId="0" fontId="20" fillId="5" borderId="0" xfId="0" applyFont="1" applyFill="1" applyAlignment="1">
      <alignment horizontal="left"/>
    </xf>
    <xf numFmtId="0" fontId="21" fillId="5" borderId="0" xfId="0" applyFont="1" applyFill="1" applyAlignment="1">
      <alignment horizontal="left"/>
    </xf>
    <xf numFmtId="0" fontId="22" fillId="3" borderId="0" xfId="0" applyFont="1" applyFill="1" applyAlignment="1">
      <alignment horizontal="left" vertical="top"/>
    </xf>
    <xf numFmtId="0" fontId="22" fillId="8" borderId="0" xfId="0" applyFont="1" applyFill="1" applyAlignment="1">
      <alignment horizontal="left" vertical="top"/>
    </xf>
    <xf numFmtId="0" fontId="4" fillId="7" borderId="0" xfId="0" applyFont="1" applyFill="1" applyAlignment="1">
      <alignment horizontal="left" vertical="top"/>
    </xf>
    <xf numFmtId="0" fontId="6" fillId="8" borderId="0" xfId="0" applyFont="1" applyFill="1" applyAlignment="1">
      <alignment horizontal="left"/>
    </xf>
    <xf numFmtId="0" fontId="6" fillId="9" borderId="0" xfId="0" applyFont="1" applyFill="1" applyAlignment="1">
      <alignment horizontal="left"/>
    </xf>
    <xf numFmtId="0" fontId="3" fillId="9" borderId="0" xfId="0" applyFont="1" applyFill="1" applyAlignment="1">
      <alignment horizontal="center" vertical="top"/>
    </xf>
    <xf numFmtId="0" fontId="4" fillId="9" borderId="0" xfId="0" applyFont="1" applyFill="1" applyAlignment="1">
      <alignment horizontal="left" vertical="top"/>
    </xf>
    <xf numFmtId="0" fontId="5" fillId="9" borderId="0" xfId="0" applyFont="1" applyFill="1" applyAlignment="1">
      <alignment horizontal="left"/>
    </xf>
    <xf numFmtId="0" fontId="7" fillId="9" borderId="0" xfId="0" applyFont="1" applyFill="1" applyAlignment="1">
      <alignment horizontal="left" vertical="top"/>
    </xf>
    <xf numFmtId="0" fontId="23" fillId="9" borderId="0" xfId="0" applyFont="1" applyFill="1" applyAlignment="1">
      <alignment horizontal="left"/>
    </xf>
    <xf numFmtId="0" fontId="18" fillId="9" borderId="0" xfId="0" applyFont="1" applyFill="1" applyAlignment="1">
      <alignment horizontal="left" vertical="top"/>
    </xf>
    <xf numFmtId="4" fontId="6" fillId="9" borderId="0" xfId="0" applyNumberFormat="1" applyFont="1" applyFill="1" applyAlignment="1">
      <alignment horizontal="left"/>
    </xf>
    <xf numFmtId="0" fontId="24" fillId="3" borderId="0" xfId="0" applyFont="1" applyFill="1" applyAlignment="1">
      <alignment horizontal="center" vertical="top"/>
    </xf>
    <xf numFmtId="0" fontId="25" fillId="9" borderId="0" xfId="0" applyFont="1" applyFill="1"/>
    <xf numFmtId="0" fontId="26" fillId="9" borderId="0" xfId="0" applyFont="1" applyFill="1"/>
    <xf numFmtId="0" fontId="27" fillId="3" borderId="0" xfId="0" applyFont="1" applyFill="1" applyAlignment="1">
      <alignment horizontal="center" vertical="top"/>
    </xf>
    <xf numFmtId="0" fontId="28" fillId="9" borderId="0" xfId="0" applyFont="1" applyFill="1"/>
    <xf numFmtId="3" fontId="17" fillId="3" borderId="0" xfId="0" applyNumberFormat="1" applyFont="1" applyFill="1" applyAlignment="1">
      <alignment horizontal="left"/>
    </xf>
    <xf numFmtId="0" fontId="29" fillId="3" borderId="0" xfId="0" applyFont="1" applyFill="1" applyAlignment="1">
      <alignment horizontal="left" vertical="top"/>
    </xf>
    <xf numFmtId="0" fontId="30" fillId="3" borderId="0" xfId="0" applyFont="1" applyFill="1" applyAlignment="1">
      <alignment horizontal="left" vertical="top"/>
    </xf>
    <xf numFmtId="0" fontId="31" fillId="9" borderId="0" xfId="0" applyFont="1" applyFill="1" applyAlignment="1">
      <alignment horizontal="left" vertical="top"/>
    </xf>
    <xf numFmtId="0" fontId="6" fillId="9" borderId="0" xfId="0" applyFont="1" applyFill="1"/>
    <xf numFmtId="0" fontId="32" fillId="3" borderId="0" xfId="0" applyFont="1" applyFill="1" applyAlignment="1">
      <alignment horizontal="center" vertical="top"/>
    </xf>
    <xf numFmtId="0" fontId="33" fillId="0" borderId="0" xfId="0" applyFont="1"/>
    <xf numFmtId="0" fontId="34" fillId="3" borderId="0" xfId="0" applyFont="1" applyFill="1" applyAlignment="1">
      <alignment horizontal="left" vertical="top"/>
    </xf>
    <xf numFmtId="0" fontId="35" fillId="9" borderId="0" xfId="0" applyFont="1" applyFill="1" applyAlignment="1">
      <alignment horizontal="left" vertical="top"/>
    </xf>
    <xf numFmtId="0" fontId="36" fillId="9" borderId="0" xfId="0" applyFont="1" applyFill="1" applyAlignment="1">
      <alignment horizontal="left" vertical="top"/>
    </xf>
    <xf numFmtId="0" fontId="37" fillId="9" borderId="0" xfId="0" applyFont="1" applyFill="1" applyAlignment="1">
      <alignment horizontal="left"/>
    </xf>
    <xf numFmtId="0" fontId="38" fillId="9" borderId="0" xfId="0" applyFont="1" applyFill="1" applyAlignment="1">
      <alignment horizontal="left"/>
    </xf>
    <xf numFmtId="0" fontId="39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10" borderId="0" xfId="0" applyFont="1" applyFill="1" applyAlignment="1">
      <alignment horizontal="left"/>
    </xf>
    <xf numFmtId="0" fontId="6" fillId="11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3" fontId="14" fillId="0" borderId="0" xfId="0" applyNumberFormat="1" applyFont="1" applyAlignment="1">
      <alignment horizontal="left"/>
    </xf>
    <xf numFmtId="4" fontId="14" fillId="0" borderId="0" xfId="0" applyNumberFormat="1" applyFont="1" applyAlignment="1">
      <alignment horizontal="left"/>
    </xf>
    <xf numFmtId="0" fontId="39" fillId="5" borderId="0" xfId="0" applyFont="1" applyFill="1" applyAlignment="1">
      <alignment horizontal="center"/>
    </xf>
    <xf numFmtId="3" fontId="6" fillId="12" borderId="0" xfId="0" applyNumberFormat="1" applyFont="1" applyFill="1" applyAlignment="1">
      <alignment horizontal="left"/>
    </xf>
    <xf numFmtId="0" fontId="40" fillId="5" borderId="0" xfId="0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6" fillId="5" borderId="0" xfId="0" applyFont="1" applyFill="1"/>
    <xf numFmtId="0" fontId="41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3" fillId="5" borderId="0" xfId="0" applyFont="1" applyFill="1" applyAlignment="1">
      <alignment horizontal="left"/>
    </xf>
    <xf numFmtId="0" fontId="44" fillId="5" borderId="0" xfId="0" applyFont="1" applyFill="1" applyAlignment="1">
      <alignment horizontal="left"/>
    </xf>
    <xf numFmtId="0" fontId="5" fillId="12" borderId="0" xfId="0" applyFont="1" applyFill="1" applyAlignment="1">
      <alignment horizontal="left"/>
    </xf>
    <xf numFmtId="0" fontId="5" fillId="5" borderId="0" xfId="0" applyFont="1" applyFill="1" applyAlignment="1">
      <alignment horizontal="left"/>
    </xf>
    <xf numFmtId="0" fontId="45" fillId="9" borderId="0" xfId="0" applyFont="1" applyFill="1" applyAlignment="1">
      <alignment horizontal="left"/>
    </xf>
    <xf numFmtId="0" fontId="46" fillId="0" borderId="0" xfId="0" applyFont="1" applyAlignment="1">
      <alignment horizontal="left"/>
    </xf>
    <xf numFmtId="0" fontId="47" fillId="0" borderId="0" xfId="0" applyFont="1" applyAlignment="1">
      <alignment horizontal="left"/>
    </xf>
    <xf numFmtId="0" fontId="24" fillId="5" borderId="0" xfId="0" applyFont="1" applyFill="1" applyAlignment="1">
      <alignment horizontal="center" vertical="top"/>
    </xf>
    <xf numFmtId="0" fontId="4" fillId="5" borderId="0" xfId="0" applyFont="1" applyFill="1" applyAlignment="1">
      <alignment horizontal="left" vertical="top"/>
    </xf>
    <xf numFmtId="0" fontId="48" fillId="5" borderId="0" xfId="0" applyFont="1" applyFill="1" applyAlignment="1">
      <alignment horizontal="left" vertical="top"/>
    </xf>
    <xf numFmtId="0" fontId="49" fillId="5" borderId="0" xfId="0" applyFont="1" applyFill="1" applyAlignment="1">
      <alignment horizontal="left" vertical="top"/>
    </xf>
    <xf numFmtId="0" fontId="50" fillId="7" borderId="3" xfId="0" applyFont="1" applyFill="1" applyBorder="1" applyAlignment="1">
      <alignment horizontal="center" vertical="top"/>
    </xf>
    <xf numFmtId="0" fontId="51" fillId="7" borderId="3" xfId="0" applyFont="1" applyFill="1" applyBorder="1" applyAlignment="1">
      <alignment horizontal="left" vertical="top"/>
    </xf>
    <xf numFmtId="0" fontId="52" fillId="7" borderId="3" xfId="0" applyFont="1" applyFill="1" applyBorder="1" applyAlignment="1">
      <alignment horizontal="left" vertical="top"/>
    </xf>
    <xf numFmtId="0" fontId="53" fillId="7" borderId="0" xfId="0" applyFont="1" applyFill="1" applyAlignment="1">
      <alignment horizontal="left"/>
    </xf>
    <xf numFmtId="0" fontId="54" fillId="7" borderId="3" xfId="0" applyFont="1" applyFill="1" applyBorder="1" applyAlignment="1">
      <alignment horizontal="left" vertical="top"/>
    </xf>
    <xf numFmtId="0" fontId="55" fillId="7" borderId="0" xfId="0" applyFont="1" applyFill="1" applyAlignment="1">
      <alignment horizontal="left"/>
    </xf>
    <xf numFmtId="0" fontId="3" fillId="13" borderId="3" xfId="0" applyFont="1" applyFill="1" applyBorder="1" applyAlignment="1">
      <alignment horizontal="center" vertical="top"/>
    </xf>
    <xf numFmtId="0" fontId="4" fillId="13" borderId="3" xfId="0" applyFont="1" applyFill="1" applyBorder="1" applyAlignment="1">
      <alignment horizontal="left" vertical="top"/>
    </xf>
    <xf numFmtId="0" fontId="29" fillId="13" borderId="3" xfId="0" applyFont="1" applyFill="1" applyBorder="1" applyAlignment="1">
      <alignment horizontal="left" vertical="top"/>
    </xf>
    <xf numFmtId="0" fontId="6" fillId="13" borderId="0" xfId="0" applyFont="1" applyFill="1" applyAlignment="1">
      <alignment horizontal="left"/>
    </xf>
    <xf numFmtId="0" fontId="56" fillId="13" borderId="3" xfId="0" applyFont="1" applyFill="1" applyBorder="1" applyAlignment="1">
      <alignment horizontal="left" vertical="top"/>
    </xf>
    <xf numFmtId="0" fontId="6" fillId="14" borderId="0" xfId="0" applyFont="1" applyFill="1" applyAlignment="1">
      <alignment horizontal="left"/>
    </xf>
    <xf numFmtId="0" fontId="57" fillId="13" borderId="0" xfId="0" applyFont="1" applyFill="1"/>
    <xf numFmtId="0" fontId="58" fillId="13" borderId="0" xfId="0" applyFont="1" applyFill="1"/>
    <xf numFmtId="0" fontId="4" fillId="9" borderId="3" xfId="0" applyFont="1" applyFill="1" applyBorder="1" applyAlignment="1">
      <alignment horizontal="left" vertical="top"/>
    </xf>
    <xf numFmtId="0" fontId="24" fillId="13" borderId="3" xfId="0" applyFont="1" applyFill="1" applyBorder="1" applyAlignment="1">
      <alignment horizontal="center" vertical="top"/>
    </xf>
    <xf numFmtId="0" fontId="59" fillId="13" borderId="0" xfId="0" applyFont="1" applyFill="1"/>
    <xf numFmtId="0" fontId="59" fillId="9" borderId="0" xfId="0" applyFont="1" applyFill="1"/>
    <xf numFmtId="0" fontId="6" fillId="13" borderId="0" xfId="0" applyFont="1" applyFill="1"/>
    <xf numFmtId="0" fontId="60" fillId="13" borderId="0" xfId="0" applyFont="1" applyFill="1"/>
    <xf numFmtId="0" fontId="61" fillId="13" borderId="0" xfId="0" applyFont="1" applyFill="1"/>
    <xf numFmtId="0" fontId="62" fillId="9" borderId="0" xfId="0" applyFont="1" applyFill="1"/>
    <xf numFmtId="0" fontId="4" fillId="13" borderId="0" xfId="0" applyFont="1" applyFill="1" applyAlignment="1">
      <alignment horizontal="left"/>
    </xf>
    <xf numFmtId="0" fontId="60" fillId="9" borderId="0" xfId="0" applyFont="1" applyFill="1"/>
    <xf numFmtId="0" fontId="61" fillId="9" borderId="0" xfId="0" applyFont="1" applyFill="1"/>
    <xf numFmtId="0" fontId="6" fillId="2" borderId="0" xfId="0" applyFont="1" applyFill="1"/>
    <xf numFmtId="0" fontId="58" fillId="9" borderId="0" xfId="0" applyFont="1" applyFill="1"/>
    <xf numFmtId="0" fontId="29" fillId="9" borderId="3" xfId="0" applyFont="1" applyFill="1" applyBorder="1" applyAlignment="1">
      <alignment horizontal="left" vertical="top"/>
    </xf>
    <xf numFmtId="0" fontId="63" fillId="13" borderId="3" xfId="0" applyFont="1" applyFill="1" applyBorder="1" applyAlignment="1">
      <alignment horizontal="left" vertical="top"/>
    </xf>
    <xf numFmtId="0" fontId="29" fillId="13" borderId="3" xfId="0" applyFont="1" applyFill="1" applyBorder="1" applyAlignment="1">
      <alignment horizontal="center" vertical="top"/>
    </xf>
    <xf numFmtId="0" fontId="64" fillId="13" borderId="0" xfId="0" applyFont="1" applyFill="1" applyAlignment="1">
      <alignment horizontal="left"/>
    </xf>
    <xf numFmtId="0" fontId="65" fillId="9" borderId="0" xfId="0" applyFont="1" applyFill="1"/>
    <xf numFmtId="0" fontId="66" fillId="9" borderId="0" xfId="0" applyFont="1" applyFill="1"/>
    <xf numFmtId="0" fontId="66" fillId="9" borderId="0" xfId="0" applyFont="1" applyFill="1" applyAlignment="1">
      <alignment horizontal="right"/>
    </xf>
    <xf numFmtId="0" fontId="67" fillId="9" borderId="0" xfId="0" applyFont="1" applyFill="1" applyAlignment="1">
      <alignment horizontal="right"/>
    </xf>
    <xf numFmtId="0" fontId="64" fillId="9" borderId="0" xfId="0" applyFont="1" applyFill="1" applyAlignment="1">
      <alignment horizontal="right"/>
    </xf>
    <xf numFmtId="0" fontId="68" fillId="9" borderId="0" xfId="0" applyFont="1" applyFill="1" applyAlignment="1">
      <alignment horizontal="left"/>
    </xf>
    <xf numFmtId="0" fontId="69" fillId="9" borderId="0" xfId="0" applyFont="1" applyFill="1" applyAlignment="1">
      <alignment horizontal="left"/>
    </xf>
    <xf numFmtId="0" fontId="6" fillId="15" borderId="0" xfId="0" applyFont="1" applyFill="1"/>
    <xf numFmtId="0" fontId="43" fillId="9" borderId="0" xfId="0" applyFont="1" applyFill="1" applyAlignment="1">
      <alignment horizontal="left"/>
    </xf>
    <xf numFmtId="0" fontId="70" fillId="9" borderId="0" xfId="0" applyFont="1" applyFill="1" applyAlignment="1">
      <alignment horizontal="left"/>
    </xf>
    <xf numFmtId="0" fontId="71" fillId="8" borderId="0" xfId="0" applyFont="1" applyFill="1" applyAlignment="1">
      <alignment horizontal="left"/>
    </xf>
    <xf numFmtId="0" fontId="69" fillId="8" borderId="0" xfId="0" applyFont="1" applyFill="1" applyAlignment="1">
      <alignment horizontal="left"/>
    </xf>
    <xf numFmtId="0" fontId="72" fillId="8" borderId="0" xfId="0" applyFont="1" applyFill="1" applyAlignment="1">
      <alignment horizontal="left"/>
    </xf>
    <xf numFmtId="0" fontId="73" fillId="8" borderId="0" xfId="0" applyFont="1" applyFill="1"/>
    <xf numFmtId="0" fontId="74" fillId="8" borderId="0" xfId="0" applyFont="1" applyFill="1" applyAlignment="1">
      <alignment horizontal="left"/>
    </xf>
    <xf numFmtId="0" fontId="75" fillId="8" borderId="0" xfId="0" applyFont="1" applyFill="1" applyAlignment="1">
      <alignment horizontal="left"/>
    </xf>
    <xf numFmtId="0" fontId="76" fillId="8" borderId="0" xfId="0" applyFont="1" applyFill="1" applyAlignment="1">
      <alignment horizontal="left"/>
    </xf>
    <xf numFmtId="0" fontId="77" fillId="8" borderId="0" xfId="0" applyFont="1" applyFill="1" applyAlignment="1">
      <alignment horizontal="left"/>
    </xf>
    <xf numFmtId="0" fontId="78" fillId="8" borderId="0" xfId="0" applyFont="1" applyFill="1" applyAlignment="1">
      <alignment horizontal="left"/>
    </xf>
    <xf numFmtId="0" fontId="79" fillId="8" borderId="0" xfId="0" applyFont="1" applyFill="1" applyAlignment="1">
      <alignment horizontal="left"/>
    </xf>
    <xf numFmtId="0" fontId="80" fillId="8" borderId="0" xfId="0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iencedirect.com/science/article/pii/S2666765720300077" TargetMode="External"/><Relationship Id="rId21" Type="http://schemas.openxmlformats.org/officeDocument/2006/relationships/hyperlink" Target="https://www.sciencedirect.com/science/article/abs/pii/S0011916411002372" TargetMode="External"/><Relationship Id="rId324" Type="http://schemas.openxmlformats.org/officeDocument/2006/relationships/hyperlink" Target="https://www.sciencedirect.com/science/article/pii/S0048969720369266" TargetMode="External"/><Relationship Id="rId170" Type="http://schemas.openxmlformats.org/officeDocument/2006/relationships/hyperlink" Target="https://iopscience.iop.org/article/10.1088/2053-1591/ab3ffb/meta" TargetMode="External"/><Relationship Id="rId226" Type="http://schemas.openxmlformats.org/officeDocument/2006/relationships/hyperlink" Target="https://www.sciencedirect.com/science/article/pii/S0263876213000919" TargetMode="External"/><Relationship Id="rId433" Type="http://schemas.openxmlformats.org/officeDocument/2006/relationships/hyperlink" Target="https://www.scopus.com/record/display.uri?eid=2-s2.0-84942067031&amp;origin=recordpage" TargetMode="External"/><Relationship Id="rId268" Type="http://schemas.openxmlformats.org/officeDocument/2006/relationships/hyperlink" Target="https://www.sciencedirect.com/science/article/pii/S2213343721006655" TargetMode="External"/><Relationship Id="rId475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32" Type="http://schemas.openxmlformats.org/officeDocument/2006/relationships/hyperlink" Target="https://www.sciencedirect.com/science/article/abs/pii/S030438941200430X" TargetMode="External"/><Relationship Id="rId74" Type="http://schemas.openxmlformats.org/officeDocument/2006/relationships/hyperlink" Target="https://pubmed.ncbi.nlm.nih.gov/19109013/" TargetMode="External"/><Relationship Id="rId128" Type="http://schemas.openxmlformats.org/officeDocument/2006/relationships/hyperlink" Target="https://www.sciencedirect.com/science/article/pii/S2666765720300077" TargetMode="External"/><Relationship Id="rId335" Type="http://schemas.openxmlformats.org/officeDocument/2006/relationships/hyperlink" Target="https://www.sciencedirect.com/science/article/pii/S0926669022016028" TargetMode="External"/><Relationship Id="rId377" Type="http://schemas.openxmlformats.org/officeDocument/2006/relationships/hyperlink" Target="https://www.sciencedirect.com/science/article/pii/S0926669022016028" TargetMode="External"/><Relationship Id="rId500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" Type="http://schemas.openxmlformats.org/officeDocument/2006/relationships/hyperlink" Target="https://doi.org/10.1016/j.colsurfa.2014.05.062" TargetMode="External"/><Relationship Id="rId181" Type="http://schemas.openxmlformats.org/officeDocument/2006/relationships/hyperlink" Target="https://www.sciencedirect.com/science/article/pii/S004896970500728X" TargetMode="External"/><Relationship Id="rId237" Type="http://schemas.openxmlformats.org/officeDocument/2006/relationships/hyperlink" Target="https://www.sciencedirect.com/science/article/pii/S0011916411002372" TargetMode="External"/><Relationship Id="rId402" Type="http://schemas.openxmlformats.org/officeDocument/2006/relationships/hyperlink" Target="https://www.sciencedirect.com/science/article/pii/S0304389421016873" TargetMode="External"/><Relationship Id="rId279" Type="http://schemas.openxmlformats.org/officeDocument/2006/relationships/hyperlink" Target="https://www.sciencedirect.com/science/article/pii/S2213343721006655" TargetMode="External"/><Relationship Id="rId444" Type="http://schemas.openxmlformats.org/officeDocument/2006/relationships/hyperlink" Target="https://www.sciencedirect.com/science/article/pii/S0960852414012243?via%3Dihub" TargetMode="External"/><Relationship Id="rId486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3" Type="http://schemas.openxmlformats.org/officeDocument/2006/relationships/hyperlink" Target="https://www.sciencedirect.com/science/article/abs/pii/S0016236112006205" TargetMode="External"/><Relationship Id="rId139" Type="http://schemas.openxmlformats.org/officeDocument/2006/relationships/hyperlink" Target="https://www.sciencedirect.com/science/article/pii/S0957582019301582" TargetMode="External"/><Relationship Id="rId290" Type="http://schemas.openxmlformats.org/officeDocument/2006/relationships/hyperlink" Target="https://www.sciencedirect.com/science/article/pii/S0926669022016028" TargetMode="External"/><Relationship Id="rId304" Type="http://schemas.openxmlformats.org/officeDocument/2006/relationships/hyperlink" Target="https://www.sciencedirect.com/science/article/pii/S0926669022016028" TargetMode="External"/><Relationship Id="rId346" Type="http://schemas.openxmlformats.org/officeDocument/2006/relationships/hyperlink" Target="https://www.sciencedirect.com/science/article/pii/S0926669022016028" TargetMode="External"/><Relationship Id="rId388" Type="http://schemas.openxmlformats.org/officeDocument/2006/relationships/hyperlink" Target="https://www.sciencedirect.com/science/article/pii/S0926669022016028" TargetMode="External"/><Relationship Id="rId511" Type="http://schemas.openxmlformats.org/officeDocument/2006/relationships/hyperlink" Target="https://www.sciencedirect.com/science/article/pii/S0960852418313312" TargetMode="External"/><Relationship Id="rId85" Type="http://schemas.openxmlformats.org/officeDocument/2006/relationships/hyperlink" Target="https://www.sciencedirect.com/science/article/pii/S0304389408017469" TargetMode="External"/><Relationship Id="rId150" Type="http://schemas.openxmlformats.org/officeDocument/2006/relationships/hyperlink" Target="https://www.sciencedirect.com/science/article/pii/S2666765720300077" TargetMode="External"/><Relationship Id="rId192" Type="http://schemas.openxmlformats.org/officeDocument/2006/relationships/hyperlink" Target="https://iwaponline.com/wst/article/47/1/185/10681/Adsorption-of-heavy-metals-from-water-using-banana" TargetMode="External"/><Relationship Id="rId206" Type="http://schemas.openxmlformats.org/officeDocument/2006/relationships/hyperlink" Target="https://www.sciencedirect.com/science/article/pii/S0969806X15300943" TargetMode="External"/><Relationship Id="rId413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248" Type="http://schemas.openxmlformats.org/officeDocument/2006/relationships/hyperlink" Target="https://www.sciencedirect.com/science/article/pii/S0045653519308616" TargetMode="External"/><Relationship Id="rId455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97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2" Type="http://schemas.openxmlformats.org/officeDocument/2006/relationships/hyperlink" Target="https://www.sciencedirect.com/science/article/pii/S1878535211000207" TargetMode="External"/><Relationship Id="rId108" Type="http://schemas.openxmlformats.org/officeDocument/2006/relationships/hyperlink" Target="https://iopscience.iop.org/article/10.1088/2053-1591/ab3ffb/meta" TargetMode="External"/><Relationship Id="rId315" Type="http://schemas.openxmlformats.org/officeDocument/2006/relationships/hyperlink" Target="https://www.sciencedirect.com/science/article/pii/S0926669022016028" TargetMode="External"/><Relationship Id="rId357" Type="http://schemas.openxmlformats.org/officeDocument/2006/relationships/hyperlink" Target="https://www.sciencedirect.com/science/article/pii/S0926669022016028" TargetMode="External"/><Relationship Id="rId54" Type="http://schemas.openxmlformats.org/officeDocument/2006/relationships/hyperlink" Target="https://www.sciencedirect.com/science/article/pii/S2213343713000900" TargetMode="External"/><Relationship Id="rId96" Type="http://schemas.openxmlformats.org/officeDocument/2006/relationships/hyperlink" Target="https://www.sciencedirect.com/science/article/pii/S095965262100809X?casa_token=OVFaTnyEtzYAAAAA:AUwG2YlT7GlODEeUVGJ_YLAT3UEHFyipjRPAu5FigzDHwq-1OYKvQ-rl1GnHeysnaj-nYR_G5Yk" TargetMode="External"/><Relationship Id="rId161" Type="http://schemas.openxmlformats.org/officeDocument/2006/relationships/hyperlink" Target="https://iopscience.iop.org/article/10.1088/2053-1591/ab3ffb/meta" TargetMode="External"/><Relationship Id="rId217" Type="http://schemas.openxmlformats.org/officeDocument/2006/relationships/hyperlink" Target="https://www.sciencedirect.com/science/article/pii/S1385894708007857" TargetMode="External"/><Relationship Id="rId399" Type="http://schemas.openxmlformats.org/officeDocument/2006/relationships/hyperlink" Target="https://pubs.rsc.org/en/content/articlehtml/2020/ra/d0ra03439h" TargetMode="External"/><Relationship Id="rId259" Type="http://schemas.openxmlformats.org/officeDocument/2006/relationships/hyperlink" Target="https://www.sciencedirect.com/science/article/pii/S2213343721006655" TargetMode="External"/><Relationship Id="rId424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66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3" Type="http://schemas.openxmlformats.org/officeDocument/2006/relationships/hyperlink" Target="https://www.researchgate.net/publication/8346015_The_Adsorption_of_CrVI_on_Sulphuric_Acid-Treated_Wheat_Bran" TargetMode="External"/><Relationship Id="rId119" Type="http://schemas.openxmlformats.org/officeDocument/2006/relationships/hyperlink" Target="https://www.sciencedirect.com/science/article/pii/S2666765720300077" TargetMode="External"/><Relationship Id="rId270" Type="http://schemas.openxmlformats.org/officeDocument/2006/relationships/hyperlink" Target="https://www.sciencedirect.com/science/article/pii/S2213343721006655" TargetMode="External"/><Relationship Id="rId326" Type="http://schemas.openxmlformats.org/officeDocument/2006/relationships/hyperlink" Target="https://www.sciencedirect.com/science/article/pii/S0045653519319630" TargetMode="External"/><Relationship Id="rId65" Type="http://schemas.openxmlformats.org/officeDocument/2006/relationships/hyperlink" Target="https://www.sciencedirect.com/science/article/pii/S0960852410001914" TargetMode="External"/><Relationship Id="rId130" Type="http://schemas.openxmlformats.org/officeDocument/2006/relationships/hyperlink" Target="https://www.sciencedirect.com/science/article/pii/S2666765720300077" TargetMode="External"/><Relationship Id="rId368" Type="http://schemas.openxmlformats.org/officeDocument/2006/relationships/hyperlink" Target="https://www.sciencedirect.com/science/article/pii/S0045653521009747" TargetMode="External"/><Relationship Id="rId172" Type="http://schemas.openxmlformats.org/officeDocument/2006/relationships/hyperlink" Target="https://www.sciencedirect.com/science/article/pii/S004896970500728X" TargetMode="External"/><Relationship Id="rId228" Type="http://schemas.openxmlformats.org/officeDocument/2006/relationships/hyperlink" Target="https://www.sciencedirect.com/science/article/pii/S246822762300090X" TargetMode="External"/><Relationship Id="rId435" Type="http://schemas.openxmlformats.org/officeDocument/2006/relationships/hyperlink" Target="https://www.scopus.com/record/display.uri?eid=2-s2.0-84942067031&amp;origin=recordpage" TargetMode="External"/><Relationship Id="rId477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81" Type="http://schemas.openxmlformats.org/officeDocument/2006/relationships/hyperlink" Target="https://www.sciencedirect.com/science/article/pii/S2213343721006655" TargetMode="External"/><Relationship Id="rId337" Type="http://schemas.openxmlformats.org/officeDocument/2006/relationships/hyperlink" Target="https://www.sciencedirect.com/science/article/pii/S0926669022016028" TargetMode="External"/><Relationship Id="rId502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34" Type="http://schemas.openxmlformats.org/officeDocument/2006/relationships/hyperlink" Target="https://doi.org/10.1016/j.colsurfa.2007.04.045" TargetMode="External"/><Relationship Id="rId76" Type="http://schemas.openxmlformats.org/officeDocument/2006/relationships/hyperlink" Target="https://pubmed.ncbi.nlm.nih.gov/19282630/" TargetMode="External"/><Relationship Id="rId141" Type="http://schemas.openxmlformats.org/officeDocument/2006/relationships/hyperlink" Target="https://www.sciencedirect.com/science/article/pii/S0048969719341439" TargetMode="External"/><Relationship Id="rId379" Type="http://schemas.openxmlformats.org/officeDocument/2006/relationships/hyperlink" Target="https://www.mdpi.com/1660-3397/12/4/2245" TargetMode="External"/><Relationship Id="rId7" Type="http://schemas.openxmlformats.org/officeDocument/2006/relationships/hyperlink" Target="https://doi.org/10.1016/j.cej.2010.08.054" TargetMode="External"/><Relationship Id="rId183" Type="http://schemas.openxmlformats.org/officeDocument/2006/relationships/hyperlink" Target="https://www.sciencedirect.com/science/article/pii/S004896970500728X" TargetMode="External"/><Relationship Id="rId239" Type="http://schemas.openxmlformats.org/officeDocument/2006/relationships/hyperlink" Target="https://pubmed.ncbi.nlm.nih.gov/15369289/" TargetMode="External"/><Relationship Id="rId390" Type="http://schemas.openxmlformats.org/officeDocument/2006/relationships/hyperlink" Target="https://www.sciencedirect.com/science/article/pii/S0926669022016028" TargetMode="External"/><Relationship Id="rId404" Type="http://schemas.openxmlformats.org/officeDocument/2006/relationships/hyperlink" Target="https://www.sciencedirect.com/science/article/pii/S0959652617301403" TargetMode="External"/><Relationship Id="rId446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50" Type="http://schemas.openxmlformats.org/officeDocument/2006/relationships/hyperlink" Target="https://www.sciencedirect.com/science/article/pii/S0045653519308616" TargetMode="External"/><Relationship Id="rId292" Type="http://schemas.openxmlformats.org/officeDocument/2006/relationships/hyperlink" Target="https://www.sciencedirect.com/science/article/pii/S0926669022016028" TargetMode="External"/><Relationship Id="rId306" Type="http://schemas.openxmlformats.org/officeDocument/2006/relationships/hyperlink" Target="https://www.sciencedirect.com/science/article/pii/S0926669022016028" TargetMode="External"/><Relationship Id="rId488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5" Type="http://schemas.openxmlformats.org/officeDocument/2006/relationships/hyperlink" Target="https://www.sciencedirect.com/science/article/abs/pii/S0304389410006503" TargetMode="External"/><Relationship Id="rId87" Type="http://schemas.openxmlformats.org/officeDocument/2006/relationships/hyperlink" Target="https://www.sciencedirect.com/science/article/pii/S0304389410003158" TargetMode="External"/><Relationship Id="rId110" Type="http://schemas.openxmlformats.org/officeDocument/2006/relationships/hyperlink" Target="https://www.sciencedirect.com/science/article/pii/S2666765720300077" TargetMode="External"/><Relationship Id="rId348" Type="http://schemas.openxmlformats.org/officeDocument/2006/relationships/hyperlink" Target="https://www.sciencedirect.com/science/article/pii/S0926669022016028" TargetMode="External"/><Relationship Id="rId513" Type="http://schemas.openxmlformats.org/officeDocument/2006/relationships/hyperlink" Target="https://www.sciencedirect.com/science/article/pii/S0960852414012243" TargetMode="External"/><Relationship Id="rId152" Type="http://schemas.openxmlformats.org/officeDocument/2006/relationships/hyperlink" Target="https://iopscience.iop.org/article/10.1088/2053-1591/ab3ffb/meta" TargetMode="External"/><Relationship Id="rId194" Type="http://schemas.openxmlformats.org/officeDocument/2006/relationships/hyperlink" Target="https://www.sciencedirect.com/science/article/pii/S109301910100079X" TargetMode="External"/><Relationship Id="rId208" Type="http://schemas.openxmlformats.org/officeDocument/2006/relationships/hyperlink" Target="https://www.sciencedirect.com/science/article/pii/S2214714415000069" TargetMode="External"/><Relationship Id="rId415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57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61" Type="http://schemas.openxmlformats.org/officeDocument/2006/relationships/hyperlink" Target="https://www.sciencedirect.com/science/article/pii/S2213343721006655" TargetMode="External"/><Relationship Id="rId499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4" Type="http://schemas.openxmlformats.org/officeDocument/2006/relationships/hyperlink" Target="https://www.sciencedirect.com/science/article/abs/pii/S1385894712000940" TargetMode="External"/><Relationship Id="rId56" Type="http://schemas.openxmlformats.org/officeDocument/2006/relationships/hyperlink" Target="https://www.sciencedirect.com/science/article/pii/S1383586605003680" TargetMode="External"/><Relationship Id="rId317" Type="http://schemas.openxmlformats.org/officeDocument/2006/relationships/hyperlink" Target="https://www.sciencedirect.com/science/article/pii/S0926669022016028" TargetMode="External"/><Relationship Id="rId359" Type="http://schemas.openxmlformats.org/officeDocument/2006/relationships/hyperlink" Target="https://www.sciencedirect.com/science/article/pii/S0141813019362439" TargetMode="External"/><Relationship Id="rId98" Type="http://schemas.openxmlformats.org/officeDocument/2006/relationships/hyperlink" Target="https://www.sciencedirect.com/science/article/pii/S095965262100809X?casa_token=OVFaTnyEtzYAAAAA:AUwG2YlT7GlODEeUVGJ_YLAT3UEHFyipjRPAu5FigzDHwq-1OYKvQ-rl1GnHeysnaj-nYR_G5Yk" TargetMode="External"/><Relationship Id="rId121" Type="http://schemas.openxmlformats.org/officeDocument/2006/relationships/hyperlink" Target="https://www.sciencedirect.com/science/article/pii/S2666765720300077" TargetMode="External"/><Relationship Id="rId163" Type="http://schemas.openxmlformats.org/officeDocument/2006/relationships/hyperlink" Target="https://iopscience.iop.org/article/10.1088/2053-1591/ab3ffb/meta" TargetMode="External"/><Relationship Id="rId219" Type="http://schemas.openxmlformats.org/officeDocument/2006/relationships/hyperlink" Target="https://www.sciencedirect.com/science/article/pii/S1878535211000207" TargetMode="External"/><Relationship Id="rId370" Type="http://schemas.openxmlformats.org/officeDocument/2006/relationships/hyperlink" Target="https://link.springer.com/article/10.1007/s11356-018-1733-8" TargetMode="External"/><Relationship Id="rId426" Type="http://schemas.openxmlformats.org/officeDocument/2006/relationships/hyperlink" Target="https://www.scopus.com/record/display.uri?eid=2-s2.0-84942067031&amp;origin=recordpage" TargetMode="External"/><Relationship Id="rId230" Type="http://schemas.openxmlformats.org/officeDocument/2006/relationships/hyperlink" Target="https://www.sciencedirect.com/science/article/pii/S0045653519308616" TargetMode="External"/><Relationship Id="rId468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5" Type="http://schemas.openxmlformats.org/officeDocument/2006/relationships/hyperlink" Target="https://www.sciencedirect.com/science/article/abs/pii/S0960852407004440" TargetMode="External"/><Relationship Id="rId67" Type="http://schemas.openxmlformats.org/officeDocument/2006/relationships/hyperlink" Target="https://www.researchgate.net/publication/259339560_Biosorption_of_CopperII_Ions_from_Aqua_Solutions_Using_Dried_Yeast_Biomass" TargetMode="External"/><Relationship Id="rId272" Type="http://schemas.openxmlformats.org/officeDocument/2006/relationships/hyperlink" Target="https://www.sciencedirect.com/science/article/pii/S2213343721006655" TargetMode="External"/><Relationship Id="rId328" Type="http://schemas.openxmlformats.org/officeDocument/2006/relationships/hyperlink" Target="https://www.sciencedirect.com/science/article/pii/S0141813020332839" TargetMode="External"/><Relationship Id="rId132" Type="http://schemas.openxmlformats.org/officeDocument/2006/relationships/hyperlink" Target="https://www.sciencedirect.com/science/article/pii/S2666765720300077" TargetMode="External"/><Relationship Id="rId174" Type="http://schemas.openxmlformats.org/officeDocument/2006/relationships/hyperlink" Target="https://www.sciencedirect.com/science/article/pii/S004896970500728X" TargetMode="External"/><Relationship Id="rId381" Type="http://schemas.openxmlformats.org/officeDocument/2006/relationships/hyperlink" Target="https://www.sciencedirect.com/science/article/pii/S0926669022016028" TargetMode="External"/><Relationship Id="rId241" Type="http://schemas.openxmlformats.org/officeDocument/2006/relationships/hyperlink" Target="https://www.sciencedirect.com/science/article/pii/S0308814614002921" TargetMode="External"/><Relationship Id="rId437" Type="http://schemas.openxmlformats.org/officeDocument/2006/relationships/hyperlink" Target="https://www.scopus.com/record/display.uri?eid=2-s2.0-84942067031&amp;origin=recordpage" TargetMode="External"/><Relationship Id="rId479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36" Type="http://schemas.openxmlformats.org/officeDocument/2006/relationships/hyperlink" Target="https://www.sciencedirect.com/science/article/abs/pii/S0169433213023088" TargetMode="External"/><Relationship Id="rId283" Type="http://schemas.openxmlformats.org/officeDocument/2006/relationships/hyperlink" Target="https://www.sciencedirect.com/science/article/pii/S2213343721006655" TargetMode="External"/><Relationship Id="rId339" Type="http://schemas.openxmlformats.org/officeDocument/2006/relationships/hyperlink" Target="https://www.sciencedirect.com/science/article/pii/S0926669022016028" TargetMode="External"/><Relationship Id="rId490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04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78" Type="http://schemas.openxmlformats.org/officeDocument/2006/relationships/hyperlink" Target="https://www.sciencedirect.com/science/article/pii/S0043135405006196" TargetMode="External"/><Relationship Id="rId101" Type="http://schemas.openxmlformats.org/officeDocument/2006/relationships/hyperlink" Target="https://www.sciencedirect.com/science/article/pii/S095965262100809X?casa_token=OVFaTnyEtzYAAAAA:AUwG2YlT7GlODEeUVGJ_YLAT3UEHFyipjRPAu5FigzDHwq-1OYKvQ-rl1GnHeysnaj-nYR_G5Yk" TargetMode="External"/><Relationship Id="rId143" Type="http://schemas.openxmlformats.org/officeDocument/2006/relationships/hyperlink" Target="https://www.sciencedirect.com/science/article/pii/S0048969718327104" TargetMode="External"/><Relationship Id="rId185" Type="http://schemas.openxmlformats.org/officeDocument/2006/relationships/hyperlink" Target="https://www.sciencedirect.com/science/article/pii/S004896970500728X" TargetMode="External"/><Relationship Id="rId350" Type="http://schemas.openxmlformats.org/officeDocument/2006/relationships/hyperlink" Target="https://www.sciencedirect.com/science/article/pii/S0926669022016028" TargetMode="External"/><Relationship Id="rId406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9" Type="http://schemas.openxmlformats.org/officeDocument/2006/relationships/hyperlink" Target="https://www.sciencedirect.com/science/article/abs/pii/S0304389407002506" TargetMode="External"/><Relationship Id="rId210" Type="http://schemas.openxmlformats.org/officeDocument/2006/relationships/hyperlink" Target="https://www.sciencedirect.com/science/article/pii/S0021979712013379" TargetMode="External"/><Relationship Id="rId392" Type="http://schemas.openxmlformats.org/officeDocument/2006/relationships/hyperlink" Target="https://www.sciencedirect.com/science/article/pii/S0926669022016028" TargetMode="External"/><Relationship Id="rId448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52" Type="http://schemas.openxmlformats.org/officeDocument/2006/relationships/hyperlink" Target="https://www.sciencedirect.com/science/article/pii/S109301910100079X" TargetMode="External"/><Relationship Id="rId294" Type="http://schemas.openxmlformats.org/officeDocument/2006/relationships/hyperlink" Target="https://www.sciencedirect.com/science/article/pii/S0926669022016028" TargetMode="External"/><Relationship Id="rId308" Type="http://schemas.openxmlformats.org/officeDocument/2006/relationships/hyperlink" Target="https://www.sciencedirect.com/science/article/pii/S1385894719333418?via%3Dihub" TargetMode="External"/><Relationship Id="rId515" Type="http://schemas.openxmlformats.org/officeDocument/2006/relationships/hyperlink" Target="https://www.sciencedirect.com/science/article/pii/S0959652617301428" TargetMode="External"/><Relationship Id="rId47" Type="http://schemas.openxmlformats.org/officeDocument/2006/relationships/hyperlink" Target="https://www.sciencedirect.com/science/article/pii/S0304389407011132" TargetMode="External"/><Relationship Id="rId89" Type="http://schemas.openxmlformats.org/officeDocument/2006/relationships/hyperlink" Target="https://www.sciencedirect.com/science/article/pii/S1385894708008097" TargetMode="External"/><Relationship Id="rId112" Type="http://schemas.openxmlformats.org/officeDocument/2006/relationships/hyperlink" Target="https://www.sciencedirect.com/science/article/pii/S135041771530081X" TargetMode="External"/><Relationship Id="rId154" Type="http://schemas.openxmlformats.org/officeDocument/2006/relationships/hyperlink" Target="https://iopscience.iop.org/article/10.1088/2053-1591/ab3ffb/meta" TargetMode="External"/><Relationship Id="rId361" Type="http://schemas.openxmlformats.org/officeDocument/2006/relationships/hyperlink" Target="https://www.sciencedirect.com/science/article/pii/S0926669022016028" TargetMode="External"/><Relationship Id="rId196" Type="http://schemas.openxmlformats.org/officeDocument/2006/relationships/hyperlink" Target="https://www.sciencedirect.com/science/article/pii/S0304389403000086" TargetMode="External"/><Relationship Id="rId417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59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6" Type="http://schemas.openxmlformats.org/officeDocument/2006/relationships/hyperlink" Target="https://www.researchgate.net/publication/279754959_Preparation_of_activated_carbon_from_carbonized_rice_husk_by_ozone_activation_for_CrVI_removal" TargetMode="External"/><Relationship Id="rId221" Type="http://schemas.openxmlformats.org/officeDocument/2006/relationships/hyperlink" Target="https://www.sciencedirect.com/science/article/pii/S1385894714001946" TargetMode="External"/><Relationship Id="rId263" Type="http://schemas.openxmlformats.org/officeDocument/2006/relationships/hyperlink" Target="https://www.sciencedirect.com/science/article/pii/S2213343721006655" TargetMode="External"/><Relationship Id="rId319" Type="http://schemas.openxmlformats.org/officeDocument/2006/relationships/hyperlink" Target="https://www.sciencedirect.com/science/article/pii/S0926669022016028" TargetMode="External"/><Relationship Id="rId470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8" Type="http://schemas.openxmlformats.org/officeDocument/2006/relationships/hyperlink" Target="https://www.sciencedirect.com/science/article/pii/S0964830514003229" TargetMode="External"/><Relationship Id="rId123" Type="http://schemas.openxmlformats.org/officeDocument/2006/relationships/hyperlink" Target="https://www.sciencedirect.com/science/article/pii/S2666765720300077" TargetMode="External"/><Relationship Id="rId330" Type="http://schemas.openxmlformats.org/officeDocument/2006/relationships/hyperlink" Target="https://www.sciencedirect.com/science/article/pii/S0141813019366991" TargetMode="External"/><Relationship Id="rId165" Type="http://schemas.openxmlformats.org/officeDocument/2006/relationships/hyperlink" Target="https://iopscience.iop.org/article/10.1088/2053-1591/ab3ffb/meta" TargetMode="External"/><Relationship Id="rId372" Type="http://schemas.openxmlformats.org/officeDocument/2006/relationships/hyperlink" Target="https://www.sciencedirect.com/science/article/pii/S0926669022016028" TargetMode="External"/><Relationship Id="rId428" Type="http://schemas.openxmlformats.org/officeDocument/2006/relationships/hyperlink" Target="https://www.scopus.com/record/display.uri?eid=2-s2.0-84942067031&amp;origin=recordpage" TargetMode="External"/><Relationship Id="rId232" Type="http://schemas.openxmlformats.org/officeDocument/2006/relationships/hyperlink" Target="https://www.sciencedirect.com/science/article/pii/S0045653519308616" TargetMode="External"/><Relationship Id="rId274" Type="http://schemas.openxmlformats.org/officeDocument/2006/relationships/hyperlink" Target="https://www.sciencedirect.com/science/article/pii/S2213343721006655" TargetMode="External"/><Relationship Id="rId481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7" Type="http://schemas.openxmlformats.org/officeDocument/2006/relationships/hyperlink" Target="https://www.researchgate.net/publication/367465517_Modified_Orange_Peel_Waste_as_a_Sustainable_Material_for_Adsorption_of_Contaminants" TargetMode="External"/><Relationship Id="rId69" Type="http://schemas.openxmlformats.org/officeDocument/2006/relationships/hyperlink" Target="https://www.sciencedirect.com/science/article/pii/S1385894715006282" TargetMode="External"/><Relationship Id="rId134" Type="http://schemas.openxmlformats.org/officeDocument/2006/relationships/hyperlink" Target="https://www.sciencedirect.com/science/article/pii/S2666765720300077" TargetMode="External"/><Relationship Id="rId80" Type="http://schemas.openxmlformats.org/officeDocument/2006/relationships/hyperlink" Target="https://www.sciencedirect.com/science/article/pii/S0147651317307881" TargetMode="External"/><Relationship Id="rId176" Type="http://schemas.openxmlformats.org/officeDocument/2006/relationships/hyperlink" Target="https://www.sciencedirect.com/science/article/pii/S004896970500728X" TargetMode="External"/><Relationship Id="rId341" Type="http://schemas.openxmlformats.org/officeDocument/2006/relationships/hyperlink" Target="https://www.sciencedirect.com/science/article/pii/S0926669022016028" TargetMode="External"/><Relationship Id="rId383" Type="http://schemas.openxmlformats.org/officeDocument/2006/relationships/hyperlink" Target="https://www.sciencedirect.com/science/article/pii/S0926669022016028" TargetMode="External"/><Relationship Id="rId439" Type="http://schemas.openxmlformats.org/officeDocument/2006/relationships/hyperlink" Target="https://www.scopus.com/record/display.uri?eid=2-s2.0-84942067031&amp;origin=recordpage" TargetMode="External"/><Relationship Id="rId201" Type="http://schemas.openxmlformats.org/officeDocument/2006/relationships/hyperlink" Target="https://www.sciencedirect.com/science/article/pii/S1385894713000612" TargetMode="External"/><Relationship Id="rId243" Type="http://schemas.openxmlformats.org/officeDocument/2006/relationships/hyperlink" Target="https://www.sciencedirect.com/science/article/pii/S0960852407004440" TargetMode="External"/><Relationship Id="rId285" Type="http://schemas.openxmlformats.org/officeDocument/2006/relationships/hyperlink" Target="https://www.sciencedirect.com/science/article/pii/S2213343721006655" TargetMode="External"/><Relationship Id="rId450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06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38" Type="http://schemas.openxmlformats.org/officeDocument/2006/relationships/hyperlink" Target="https://www.sciencedirect.com/science/article/abs/pii/S1226086X14006728" TargetMode="External"/><Relationship Id="rId103" Type="http://schemas.openxmlformats.org/officeDocument/2006/relationships/hyperlink" Target="https://doi.org/10.1002/ceat.201800488" TargetMode="External"/><Relationship Id="rId310" Type="http://schemas.openxmlformats.org/officeDocument/2006/relationships/hyperlink" Target="https://repositorium.sdum.uminho.pt/bitstream/1822/65785/1/document_53785_1.pdf" TargetMode="External"/><Relationship Id="rId492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91" Type="http://schemas.openxmlformats.org/officeDocument/2006/relationships/hyperlink" Target="https://www.sciencedirect.com/science/article/pii/S0021979707000409" TargetMode="External"/><Relationship Id="rId145" Type="http://schemas.openxmlformats.org/officeDocument/2006/relationships/hyperlink" Target="https://www.sciencedirect.com/science/article/pii/S0048969718327104" TargetMode="External"/><Relationship Id="rId187" Type="http://schemas.openxmlformats.org/officeDocument/2006/relationships/hyperlink" Target="https://www.sciencedirect.com/science/article/pii/S004896970500728X" TargetMode="External"/><Relationship Id="rId352" Type="http://schemas.openxmlformats.org/officeDocument/2006/relationships/hyperlink" Target="https://www.sciencedirect.com/science/article/pii/S1350417717303048" TargetMode="External"/><Relationship Id="rId394" Type="http://schemas.openxmlformats.org/officeDocument/2006/relationships/hyperlink" Target="https://www.sciencedirect.com/science/article/pii/S0926669022016028" TargetMode="External"/><Relationship Id="rId408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212" Type="http://schemas.openxmlformats.org/officeDocument/2006/relationships/hyperlink" Target="https://www.sciencedirect.com/science/article/pii/S1385894712001623" TargetMode="External"/><Relationship Id="rId254" Type="http://schemas.openxmlformats.org/officeDocument/2006/relationships/hyperlink" Target="https://pubs.acs.org/doi/10.1021/je900585t?src=getftr&amp;utm_source=sciencedirect_contenthosting&amp;getft_integrator=sciencedirect_contenthosting" TargetMode="External"/><Relationship Id="rId49" Type="http://schemas.openxmlformats.org/officeDocument/2006/relationships/hyperlink" Target="https://www.sciencedirect.com/science/article/pii/S0304389410010307" TargetMode="External"/><Relationship Id="rId114" Type="http://schemas.openxmlformats.org/officeDocument/2006/relationships/hyperlink" Target="https://link.springer.com/article/10.1007/s12010-011-9521-7" TargetMode="External"/><Relationship Id="rId296" Type="http://schemas.openxmlformats.org/officeDocument/2006/relationships/hyperlink" Target="https://www.sciencedirect.com/science/article/pii/S0926669022016028" TargetMode="External"/><Relationship Id="rId461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17" Type="http://schemas.openxmlformats.org/officeDocument/2006/relationships/hyperlink" Target="https://www.sciencedirect.com/science/article/pii/S0959652617301449" TargetMode="External"/><Relationship Id="rId60" Type="http://schemas.openxmlformats.org/officeDocument/2006/relationships/hyperlink" Target="https://www.tandfonline.com/doi/full/10.1080/01496390600851640" TargetMode="External"/><Relationship Id="rId156" Type="http://schemas.openxmlformats.org/officeDocument/2006/relationships/hyperlink" Target="https://iopscience.iop.org/article/10.1088/2053-1591/ab3ffb/meta" TargetMode="External"/><Relationship Id="rId198" Type="http://schemas.openxmlformats.org/officeDocument/2006/relationships/hyperlink" Target="https://www.sciencedirect.com/science/article/pii/S0960852403000646" TargetMode="External"/><Relationship Id="rId321" Type="http://schemas.openxmlformats.org/officeDocument/2006/relationships/hyperlink" Target="https://www.sciencedirect.com/science/article/pii/S0959652621006260" TargetMode="External"/><Relationship Id="rId363" Type="http://schemas.openxmlformats.org/officeDocument/2006/relationships/hyperlink" Target="https://www.sciencedirect.com/science/article/pii/S0926669022016028" TargetMode="External"/><Relationship Id="rId419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223" Type="http://schemas.openxmlformats.org/officeDocument/2006/relationships/hyperlink" Target="https://www.sciencedirect.com/science/article/pii/S1385894712000940" TargetMode="External"/><Relationship Id="rId430" Type="http://schemas.openxmlformats.org/officeDocument/2006/relationships/hyperlink" Target="https://www.scopus.com/record/display.uri?eid=2-s2.0-84942067031&amp;origin=recordpage" TargetMode="External"/><Relationship Id="rId18" Type="http://schemas.openxmlformats.org/officeDocument/2006/relationships/hyperlink" Target="https://www.researchgate.net/publication/6235318_Removal_of_ChromiumVI_From_Water_and_Wastewater_Using_Surfactant_Modified_Coconut_Coir_Pith_as_a_Biosorbent" TargetMode="External"/><Relationship Id="rId265" Type="http://schemas.openxmlformats.org/officeDocument/2006/relationships/hyperlink" Target="https://www.sciencedirect.com/science/article/pii/S2213343721006655" TargetMode="External"/><Relationship Id="rId472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25" Type="http://schemas.openxmlformats.org/officeDocument/2006/relationships/hyperlink" Target="https://onlinelibrary.wiley.com/doi/full/10.1111/wej.12408" TargetMode="External"/><Relationship Id="rId167" Type="http://schemas.openxmlformats.org/officeDocument/2006/relationships/hyperlink" Target="https://iopscience.iop.org/article/10.1088/2053-1591/ab3ffb/meta" TargetMode="External"/><Relationship Id="rId332" Type="http://schemas.openxmlformats.org/officeDocument/2006/relationships/hyperlink" Target="https://www.sciencedirect.com/science/article/pii/S0141813022002525" TargetMode="External"/><Relationship Id="rId374" Type="http://schemas.openxmlformats.org/officeDocument/2006/relationships/hyperlink" Target="https://www.sciencedirect.com/science/article/pii/S0926669022016028" TargetMode="External"/><Relationship Id="rId71" Type="http://schemas.openxmlformats.org/officeDocument/2006/relationships/hyperlink" Target="https://www.researchgate.net/publication/6212973_Comparative_Study_of_Biosorption_of_Heavy_Metals_Using_Different_Types_of_Algae" TargetMode="External"/><Relationship Id="rId234" Type="http://schemas.openxmlformats.org/officeDocument/2006/relationships/hyperlink" Target="https://www.sciencedirect.com/science/article/pii/S0045653519308616" TargetMode="External"/><Relationship Id="rId2" Type="http://schemas.openxmlformats.org/officeDocument/2006/relationships/hyperlink" Target="https://doi.org/10.1016/j.cej.2015.12.022" TargetMode="External"/><Relationship Id="rId29" Type="http://schemas.openxmlformats.org/officeDocument/2006/relationships/hyperlink" Target="https://www.researchgate.net/publication/241114396_Removal_of_hexavalent_chromium_in_aquatic_solutions_by_iron_nanoparticles_embedded_in_orange_peel_pith" TargetMode="External"/><Relationship Id="rId276" Type="http://schemas.openxmlformats.org/officeDocument/2006/relationships/hyperlink" Target="https://www.sciencedirect.com/science/article/pii/S2213343721006655" TargetMode="External"/><Relationship Id="rId441" Type="http://schemas.openxmlformats.org/officeDocument/2006/relationships/hyperlink" Target="https://www.sciencedirect.com/science/article/pii/S0960852414012243?via%3Dihub" TargetMode="External"/><Relationship Id="rId483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0" Type="http://schemas.openxmlformats.org/officeDocument/2006/relationships/hyperlink" Target="https://www.sciencedirect.com/science/article/abs/pii/S0925838810028574" TargetMode="External"/><Relationship Id="rId136" Type="http://schemas.openxmlformats.org/officeDocument/2006/relationships/hyperlink" Target="https://www.sciencedirect.com/science/article/pii/S2666765720300077" TargetMode="External"/><Relationship Id="rId178" Type="http://schemas.openxmlformats.org/officeDocument/2006/relationships/hyperlink" Target="https://www.sciencedirect.com/science/article/pii/S0960852403001299" TargetMode="External"/><Relationship Id="rId301" Type="http://schemas.openxmlformats.org/officeDocument/2006/relationships/hyperlink" Target="https://www.sciencedirect.com/science/article/pii/S0022169421000160" TargetMode="External"/><Relationship Id="rId343" Type="http://schemas.openxmlformats.org/officeDocument/2006/relationships/hyperlink" Target="https://www.sciencedirect.com/science/article/pii/S0926669022016028" TargetMode="External"/><Relationship Id="rId82" Type="http://schemas.openxmlformats.org/officeDocument/2006/relationships/hyperlink" Target="https://www.sciencedirect.com/science/article/pii/S0147651317307881" TargetMode="External"/><Relationship Id="rId203" Type="http://schemas.openxmlformats.org/officeDocument/2006/relationships/hyperlink" Target="https://www.sciencedirect.com/science/article/pii/S1226086X14006728" TargetMode="External"/><Relationship Id="rId385" Type="http://schemas.openxmlformats.org/officeDocument/2006/relationships/hyperlink" Target="https://www.sciencedirect.com/science/article/pii/S0926669022016028" TargetMode="External"/><Relationship Id="rId245" Type="http://schemas.openxmlformats.org/officeDocument/2006/relationships/hyperlink" Target="https://www.sciencedirect.com/science/article/pii/S0960852411015859" TargetMode="External"/><Relationship Id="rId287" Type="http://schemas.openxmlformats.org/officeDocument/2006/relationships/hyperlink" Target="https://www.sciencedirect.com/science/article/pii/S2213343721006655" TargetMode="External"/><Relationship Id="rId410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52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94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08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05" Type="http://schemas.openxmlformats.org/officeDocument/2006/relationships/hyperlink" Target="https://doi.org/10.5004/dwt.2018.22228" TargetMode="External"/><Relationship Id="rId147" Type="http://schemas.openxmlformats.org/officeDocument/2006/relationships/hyperlink" Target="https://www.researchgate.net/profile/Syazwani-Mohd-Asharuddin/publication/280614336_Utilization_of_Cucumis_Melo_Rind_as_Fe_and_Pb_Ions_Biosorbent/links/55befec808aec0e5f445e669/Utilization-of-Cucumis-Melo-Rind-as-Fe-and-Pb-Ions-Biosorbent?__cf_chl_tk=btDNDHocn80UbDCskDkMTv6CGy3PQO.by28gQrVKgAI-1744090908-1.0.1.1-lRQNPEC4omczFPhB8BFZiDJwTY.zBKXPsqQ3XrwEiMI" TargetMode="External"/><Relationship Id="rId312" Type="http://schemas.openxmlformats.org/officeDocument/2006/relationships/hyperlink" Target="https://pubs.rsc.org/en/content/articlelanding/2016/ta/c6ta03779h" TargetMode="External"/><Relationship Id="rId354" Type="http://schemas.openxmlformats.org/officeDocument/2006/relationships/hyperlink" Target="https://pubs.acs.org/doi/full/10.1021/acsomega.0c00492" TargetMode="External"/><Relationship Id="rId51" Type="http://schemas.openxmlformats.org/officeDocument/2006/relationships/hyperlink" Target="https://www.sciencedirect.com/science/article/pii/S0304389407001112" TargetMode="External"/><Relationship Id="rId93" Type="http://schemas.openxmlformats.org/officeDocument/2006/relationships/hyperlink" Target="https://www.sciencedirect.com/science/article/pii/S0021979707000409" TargetMode="External"/><Relationship Id="rId189" Type="http://schemas.openxmlformats.org/officeDocument/2006/relationships/hyperlink" Target="https://www.sciencedirect.com/science/article/pii/S004896970500728X" TargetMode="External"/><Relationship Id="rId396" Type="http://schemas.openxmlformats.org/officeDocument/2006/relationships/hyperlink" Target="https://www.sciencedirect.com/science/article/pii/S0926669022016028" TargetMode="External"/><Relationship Id="rId214" Type="http://schemas.openxmlformats.org/officeDocument/2006/relationships/hyperlink" Target="https://www.sciencedirect.com/science/article/pii/S0045653519308616" TargetMode="External"/><Relationship Id="rId256" Type="http://schemas.openxmlformats.org/officeDocument/2006/relationships/hyperlink" Target="https://pubs.acs.org/doi/10.1021/je900585t?src=getftr&amp;utm_source=sciencedirect_contenthosting&amp;getft_integrator=sciencedirect_contenthosting" TargetMode="External"/><Relationship Id="rId298" Type="http://schemas.openxmlformats.org/officeDocument/2006/relationships/hyperlink" Target="https://www.sciencedirect.com/science/article/pii/S0926669022016028" TargetMode="External"/><Relationship Id="rId421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63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16" Type="http://schemas.openxmlformats.org/officeDocument/2006/relationships/hyperlink" Target="https://www.sciencedirect.com/science/article/pii/S1944398624180113" TargetMode="External"/><Relationship Id="rId158" Type="http://schemas.openxmlformats.org/officeDocument/2006/relationships/hyperlink" Target="https://iopscience.iop.org/article/10.1088/2053-1591/ab3ffb/meta" TargetMode="External"/><Relationship Id="rId323" Type="http://schemas.openxmlformats.org/officeDocument/2006/relationships/hyperlink" Target="https://link.springer.com/article/10.1007/s12221-018-8052-z" TargetMode="External"/><Relationship Id="rId20" Type="http://schemas.openxmlformats.org/officeDocument/2006/relationships/hyperlink" Target="https://doi.org/10.1016/j.desal.2008.10.025" TargetMode="External"/><Relationship Id="rId62" Type="http://schemas.openxmlformats.org/officeDocument/2006/relationships/hyperlink" Target="https://www.sciencedirect.com/science/article/pii/S1385894708001034" TargetMode="External"/><Relationship Id="rId365" Type="http://schemas.openxmlformats.org/officeDocument/2006/relationships/hyperlink" Target="https://www.sciencedirect.com/science/article/pii/S0926669022016028" TargetMode="External"/><Relationship Id="rId225" Type="http://schemas.openxmlformats.org/officeDocument/2006/relationships/hyperlink" Target="https://www.sciencedirect.com/science/article/pii/S0045653519308616" TargetMode="External"/><Relationship Id="rId267" Type="http://schemas.openxmlformats.org/officeDocument/2006/relationships/hyperlink" Target="https://www.sciencedirect.com/science/article/pii/S2213343721006655" TargetMode="External"/><Relationship Id="rId432" Type="http://schemas.openxmlformats.org/officeDocument/2006/relationships/hyperlink" Target="https://www.scopus.com/record/display.uri?eid=2-s2.0-84942067031&amp;origin=recordpage" TargetMode="External"/><Relationship Id="rId474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27" Type="http://schemas.openxmlformats.org/officeDocument/2006/relationships/hyperlink" Target="https://www.sciencedirect.com/science/article/pii/S0301751613000653" TargetMode="External"/><Relationship Id="rId31" Type="http://schemas.openxmlformats.org/officeDocument/2006/relationships/hyperlink" Target="https://pubs.rsc.org/en/content/articlelanding/2011/jm/c1jm12329g" TargetMode="External"/><Relationship Id="rId73" Type="http://schemas.openxmlformats.org/officeDocument/2006/relationships/hyperlink" Target="https://doi.org/10.1016/j.biortech.2005.07.018" TargetMode="External"/><Relationship Id="rId169" Type="http://schemas.openxmlformats.org/officeDocument/2006/relationships/hyperlink" Target="https://iopscience.iop.org/article/10.1088/2053-1591/ab3ffb/meta" TargetMode="External"/><Relationship Id="rId334" Type="http://schemas.openxmlformats.org/officeDocument/2006/relationships/hyperlink" Target="https://www.sciencedirect.com/science/article/pii/S0141813019313996" TargetMode="External"/><Relationship Id="rId376" Type="http://schemas.openxmlformats.org/officeDocument/2006/relationships/hyperlink" Target="https://www.sciencedirect.com/science/article/pii/S0141813021002890" TargetMode="External"/><Relationship Id="rId4" Type="http://schemas.openxmlformats.org/officeDocument/2006/relationships/hyperlink" Target="https://www.researchgate.net/publication/271538840_Green_synthesis_of_graphene_sand_composite_GSC_as_novel_adsorbent_for_efficient_removal_of_Cr_VI_ions_from_aqueous_solution" TargetMode="External"/><Relationship Id="rId180" Type="http://schemas.openxmlformats.org/officeDocument/2006/relationships/hyperlink" Target="https://www.sciencedirect.com/science/article/pii/S004896970500728X" TargetMode="External"/><Relationship Id="rId236" Type="http://schemas.openxmlformats.org/officeDocument/2006/relationships/hyperlink" Target="https://www.sciencedirect.com/science/article/pii/S0045653519308616" TargetMode="External"/><Relationship Id="rId278" Type="http://schemas.openxmlformats.org/officeDocument/2006/relationships/hyperlink" Target="https://www.sciencedirect.com/science/article/pii/S2213343721006655" TargetMode="External"/><Relationship Id="rId401" Type="http://schemas.openxmlformats.org/officeDocument/2006/relationships/hyperlink" Target="https://www.sciencedirect.com/science/article/pii/S0926669022016028" TargetMode="External"/><Relationship Id="rId443" Type="http://schemas.openxmlformats.org/officeDocument/2006/relationships/hyperlink" Target="https://www.sciencedirect.com/science/article/pii/S0960852414012243?via%3Dihub" TargetMode="External"/><Relationship Id="rId303" Type="http://schemas.openxmlformats.org/officeDocument/2006/relationships/hyperlink" Target="https://journals.plos.org/plosone/article?id=10.1371/journal.pone.0170092" TargetMode="External"/><Relationship Id="rId485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2" Type="http://schemas.openxmlformats.org/officeDocument/2006/relationships/hyperlink" Target="https://www.sciencedirect.com/science/article/abs/pii/S0301479705003531" TargetMode="External"/><Relationship Id="rId84" Type="http://schemas.openxmlformats.org/officeDocument/2006/relationships/hyperlink" Target="https://www.sciencedirect.com/science/article/pii/S0147651317307881" TargetMode="External"/><Relationship Id="rId138" Type="http://schemas.openxmlformats.org/officeDocument/2006/relationships/hyperlink" Target="https://www.sciencedirect.com/science/article/pii/S2666765720300077" TargetMode="External"/><Relationship Id="rId345" Type="http://schemas.openxmlformats.org/officeDocument/2006/relationships/hyperlink" Target="https://link.springer.com/article/10.1007/S10570-020-03376-3" TargetMode="External"/><Relationship Id="rId387" Type="http://schemas.openxmlformats.org/officeDocument/2006/relationships/hyperlink" Target="https://www.sciencedirect.com/science/article/pii/S0926669022016028" TargetMode="External"/><Relationship Id="rId510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91" Type="http://schemas.openxmlformats.org/officeDocument/2006/relationships/hyperlink" Target="https://www.sciencedirect.com/science/article/pii/S004896970500728X" TargetMode="External"/><Relationship Id="rId205" Type="http://schemas.openxmlformats.org/officeDocument/2006/relationships/hyperlink" Target="https://www.sciencedirect.com/science/article/pii/S0045653519308616" TargetMode="External"/><Relationship Id="rId247" Type="http://schemas.openxmlformats.org/officeDocument/2006/relationships/hyperlink" Target="https://www.sciencedirect.com/science/article/pii/S0045653519308616" TargetMode="External"/><Relationship Id="rId412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107" Type="http://schemas.openxmlformats.org/officeDocument/2006/relationships/hyperlink" Target="https://doi.org/10.2298/JSC170704098S" TargetMode="External"/><Relationship Id="rId289" Type="http://schemas.openxmlformats.org/officeDocument/2006/relationships/hyperlink" Target="https://www.sciencedirect.com/science/article/pii/S2213343721006655" TargetMode="External"/><Relationship Id="rId454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96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1" Type="http://schemas.openxmlformats.org/officeDocument/2006/relationships/hyperlink" Target="https://www.sciencedirect.com/science/article/abs/pii/S1385894708007080" TargetMode="External"/><Relationship Id="rId53" Type="http://schemas.openxmlformats.org/officeDocument/2006/relationships/hyperlink" Target="https://www.sciencedirect.com/science/article/pii/S096085240700082X" TargetMode="External"/><Relationship Id="rId149" Type="http://schemas.openxmlformats.org/officeDocument/2006/relationships/hyperlink" Target="https://www.researchgate.net/profile/Syazwani-Mohd-Asharuddin/publication/280614336_Utilization_of_Cucumis_Melo_Rind_as_Fe_and_Pb_Ions_Biosorbent/links/55befec808aec0e5f445e669/Utilization-of-Cucumis-Melo-Rind-as-Fe-and-Pb-Ions-Biosorbent?__cf_chl_tk=btDNDHocn80UbDCskDkMTv6CGy3PQO.by28gQrVKgAI-1744090908-1.0.1.1-lRQNPEC4omczFPhB8BFZiDJwTY.zBKXPsqQ3XrwEiMI" TargetMode="External"/><Relationship Id="rId314" Type="http://schemas.openxmlformats.org/officeDocument/2006/relationships/hyperlink" Target="https://www.sciencedirect.com/science/article/pii/S0141813020338277" TargetMode="External"/><Relationship Id="rId356" Type="http://schemas.openxmlformats.org/officeDocument/2006/relationships/hyperlink" Target="https://chemistry-europe.onlinelibrary.wiley.com/doi/10.1002/chem.201204113" TargetMode="External"/><Relationship Id="rId398" Type="http://schemas.openxmlformats.org/officeDocument/2006/relationships/hyperlink" Target="https://www.sciencedirect.com/science/article/pii/S0926669022016028" TargetMode="External"/><Relationship Id="rId95" Type="http://schemas.openxmlformats.org/officeDocument/2006/relationships/hyperlink" Target="https://www.sciencedirect.com/science/article/pii/S0026265X07001294" TargetMode="External"/><Relationship Id="rId160" Type="http://schemas.openxmlformats.org/officeDocument/2006/relationships/hyperlink" Target="https://iopscience.iop.org/article/10.1088/2053-1591/ab3ffb/meta" TargetMode="External"/><Relationship Id="rId216" Type="http://schemas.openxmlformats.org/officeDocument/2006/relationships/hyperlink" Target="https://www.sciencedirect.com/science/article/pii/S0045653519308616" TargetMode="External"/><Relationship Id="rId423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258" Type="http://schemas.openxmlformats.org/officeDocument/2006/relationships/hyperlink" Target="https://www.sciencedirect.com/science/article/pii/S2213343721006655" TargetMode="External"/><Relationship Id="rId465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2" Type="http://schemas.openxmlformats.org/officeDocument/2006/relationships/hyperlink" Target="https://www.researchgate.net/publication/257561732_Adsorption_characteristics_of_wheat_bran_towards_heavy_metal_cations" TargetMode="External"/><Relationship Id="rId64" Type="http://schemas.openxmlformats.org/officeDocument/2006/relationships/hyperlink" Target="https://www.sciencedirect.com/science/article/pii/S1359511305001625" TargetMode="External"/><Relationship Id="rId118" Type="http://schemas.openxmlformats.org/officeDocument/2006/relationships/hyperlink" Target="https://iopscience.iop.org/article/10.1088/1757-899X/737/1/012195/pdf" TargetMode="External"/><Relationship Id="rId325" Type="http://schemas.openxmlformats.org/officeDocument/2006/relationships/hyperlink" Target="https://www.sciencedirect.com/science/article/pii/S0926669022016028" TargetMode="External"/><Relationship Id="rId367" Type="http://schemas.openxmlformats.org/officeDocument/2006/relationships/hyperlink" Target="https://www.sciencedirect.com/science/article/pii/S0926669022016028" TargetMode="External"/><Relationship Id="rId171" Type="http://schemas.openxmlformats.org/officeDocument/2006/relationships/hyperlink" Target="https://iopscience.iop.org/article/10.1088/2053-1591/ab3ffb/meta" TargetMode="External"/><Relationship Id="rId227" Type="http://schemas.openxmlformats.org/officeDocument/2006/relationships/hyperlink" Target="https://www.sciencedirect.com/science/article/pii/S0045653519308616" TargetMode="External"/><Relationship Id="rId269" Type="http://schemas.openxmlformats.org/officeDocument/2006/relationships/hyperlink" Target="https://www.sciencedirect.com/science/article/pii/S2213343721006655" TargetMode="External"/><Relationship Id="rId434" Type="http://schemas.openxmlformats.org/officeDocument/2006/relationships/hyperlink" Target="https://www.scopus.com/record/display.uri?eid=2-s2.0-84942067031&amp;origin=recordpage" TargetMode="External"/><Relationship Id="rId476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33" Type="http://schemas.openxmlformats.org/officeDocument/2006/relationships/hyperlink" Target="https://www.sciencedirect.com/science/article/abs/pii/S1385894709004318" TargetMode="External"/><Relationship Id="rId129" Type="http://schemas.openxmlformats.org/officeDocument/2006/relationships/hyperlink" Target="https://pubs.rsc.org/en/content/articlehtml/2015/ew/c4ew00027g" TargetMode="External"/><Relationship Id="rId280" Type="http://schemas.openxmlformats.org/officeDocument/2006/relationships/hyperlink" Target="https://www.sciencedirect.com/science/article/pii/S2213343721006655" TargetMode="External"/><Relationship Id="rId336" Type="http://schemas.openxmlformats.org/officeDocument/2006/relationships/hyperlink" Target="https://www.tandfonline.com/doi/full/10.1080/01496395.2021.1920980" TargetMode="External"/><Relationship Id="rId501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75" Type="http://schemas.openxmlformats.org/officeDocument/2006/relationships/hyperlink" Target="https://link.springer.com/content/pdf/10.1007/s11274-005-0381-6.pdf" TargetMode="External"/><Relationship Id="rId140" Type="http://schemas.openxmlformats.org/officeDocument/2006/relationships/hyperlink" Target="https://www.sciencedirect.com/science/article/pii/S2666765720300077" TargetMode="External"/><Relationship Id="rId182" Type="http://schemas.openxmlformats.org/officeDocument/2006/relationships/hyperlink" Target="https://www.sciencedirect.com/science/article/pii/S004896970500728X" TargetMode="External"/><Relationship Id="rId378" Type="http://schemas.openxmlformats.org/officeDocument/2006/relationships/hyperlink" Target="https://www.sciencedirect.com/science/article/pii/S0926669022016028" TargetMode="External"/><Relationship Id="rId403" Type="http://schemas.openxmlformats.org/officeDocument/2006/relationships/hyperlink" Target="https://www.sciencedirect.com/science/article/pii/S0959652617301403" TargetMode="External"/><Relationship Id="rId6" Type="http://schemas.openxmlformats.org/officeDocument/2006/relationships/hyperlink" Target="https://www.sciencedirect.com/science/article/abs/pii/S0021979712013379" TargetMode="External"/><Relationship Id="rId238" Type="http://schemas.openxmlformats.org/officeDocument/2006/relationships/hyperlink" Target="https://www.sciencedirect.com/science/article/pii/S0045653519308616" TargetMode="External"/><Relationship Id="rId445" Type="http://schemas.openxmlformats.org/officeDocument/2006/relationships/hyperlink" Target="https://www.sciencedirect.com/science/article/pii/S0960852414012243?via%3Dihub" TargetMode="External"/><Relationship Id="rId487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91" Type="http://schemas.openxmlformats.org/officeDocument/2006/relationships/hyperlink" Target="https://doi.org/10.1016/j.matdes.2016.01.102" TargetMode="External"/><Relationship Id="rId305" Type="http://schemas.openxmlformats.org/officeDocument/2006/relationships/hyperlink" Target="https://www.mdpi.com/2073-4360/14/14/2824" TargetMode="External"/><Relationship Id="rId347" Type="http://schemas.openxmlformats.org/officeDocument/2006/relationships/hyperlink" Target="https://www.sciencedirect.com/science/article/pii/S0960852417313779" TargetMode="External"/><Relationship Id="rId512" Type="http://schemas.openxmlformats.org/officeDocument/2006/relationships/hyperlink" Target="https://www.sciencedirect.com/science/article/pii/S0960852418313313" TargetMode="External"/><Relationship Id="rId44" Type="http://schemas.openxmlformats.org/officeDocument/2006/relationships/hyperlink" Target="https://www.sciencedirect.com/science/article/abs/pii/S0016236103003442" TargetMode="External"/><Relationship Id="rId86" Type="http://schemas.openxmlformats.org/officeDocument/2006/relationships/hyperlink" Target="https://www.sciencedirect.com/science/article/pii/S0147651317307881" TargetMode="External"/><Relationship Id="rId151" Type="http://schemas.openxmlformats.org/officeDocument/2006/relationships/hyperlink" Target="https://www.sciencedirect.com/science/article/pii/S0301751613000653" TargetMode="External"/><Relationship Id="rId389" Type="http://schemas.openxmlformats.org/officeDocument/2006/relationships/hyperlink" Target="https://www.sciencedirect.com/science/article/pii/S0926669022016028" TargetMode="External"/><Relationship Id="rId193" Type="http://schemas.openxmlformats.org/officeDocument/2006/relationships/hyperlink" Target="https://www.sciencedirect.com/science/article/pii/S004896970500728X" TargetMode="External"/><Relationship Id="rId207" Type="http://schemas.openxmlformats.org/officeDocument/2006/relationships/hyperlink" Target="https://www.sciencedirect.com/science/article/pii/S0045653519308616" TargetMode="External"/><Relationship Id="rId249" Type="http://schemas.openxmlformats.org/officeDocument/2006/relationships/hyperlink" Target="https://www.sciencedirect.com/science/article/pii/S1385894711009466" TargetMode="External"/><Relationship Id="rId414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56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98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3" Type="http://schemas.openxmlformats.org/officeDocument/2006/relationships/hyperlink" Target="https://www.sciencedirect.com/science/article/abs/pii/S1385894714001946" TargetMode="External"/><Relationship Id="rId109" Type="http://schemas.openxmlformats.org/officeDocument/2006/relationships/hyperlink" Target="https://iopscience.iop.org/article/10.1088/2053-1591/ab3ffb/meta" TargetMode="External"/><Relationship Id="rId260" Type="http://schemas.openxmlformats.org/officeDocument/2006/relationships/hyperlink" Target="https://www.sciencedirect.com/science/article/pii/S2213343721006655" TargetMode="External"/><Relationship Id="rId316" Type="http://schemas.openxmlformats.org/officeDocument/2006/relationships/hyperlink" Target="https://pubs.acs.org/doi/full/10.1021/acsami.5b03994" TargetMode="External"/><Relationship Id="rId55" Type="http://schemas.openxmlformats.org/officeDocument/2006/relationships/hyperlink" Target="https://www.sciencedirect.com/science/article/pii/S1631074814001477" TargetMode="External"/><Relationship Id="rId97" Type="http://schemas.openxmlformats.org/officeDocument/2006/relationships/hyperlink" Target="https://www.sciencedirect.com/science/article/pii/S1876610214007504" TargetMode="External"/><Relationship Id="rId120" Type="http://schemas.openxmlformats.org/officeDocument/2006/relationships/hyperlink" Target="https://www.akademiabaru.com/submit/index.php/progee/article/view/1048" TargetMode="External"/><Relationship Id="rId358" Type="http://schemas.openxmlformats.org/officeDocument/2006/relationships/hyperlink" Target="https://www.sciencedirect.com/science/article/pii/S092777572100964X" TargetMode="External"/><Relationship Id="rId162" Type="http://schemas.openxmlformats.org/officeDocument/2006/relationships/hyperlink" Target="https://iopscience.iop.org/article/10.1088/2053-1591/ab3ffb/meta" TargetMode="External"/><Relationship Id="rId218" Type="http://schemas.openxmlformats.org/officeDocument/2006/relationships/hyperlink" Target="https://www.sciencedirect.com/science/article/pii/S0045653519308616" TargetMode="External"/><Relationship Id="rId425" Type="http://schemas.openxmlformats.org/officeDocument/2006/relationships/hyperlink" Target="https://www.sciencedirect.com/science/article/pii/S0048969716306337" TargetMode="External"/><Relationship Id="rId467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71" Type="http://schemas.openxmlformats.org/officeDocument/2006/relationships/hyperlink" Target="https://www.sciencedirect.com/science/article/pii/S2213343721006655" TargetMode="External"/><Relationship Id="rId24" Type="http://schemas.openxmlformats.org/officeDocument/2006/relationships/hyperlink" Target="https://www.sciencedirect.com/science/article/abs/pii/S0308814614002921" TargetMode="External"/><Relationship Id="rId66" Type="http://schemas.openxmlformats.org/officeDocument/2006/relationships/hyperlink" Target="https://www.sciencedirect.com/science/article/pii/S0925857413004242" TargetMode="External"/><Relationship Id="rId131" Type="http://schemas.openxmlformats.org/officeDocument/2006/relationships/hyperlink" Target="https://www.sciencedirect.com/science/article/pii/S1944398624180113" TargetMode="External"/><Relationship Id="rId327" Type="http://schemas.openxmlformats.org/officeDocument/2006/relationships/hyperlink" Target="https://www.sciencedirect.com/science/article/pii/S0926669022016028" TargetMode="External"/><Relationship Id="rId369" Type="http://schemas.openxmlformats.org/officeDocument/2006/relationships/hyperlink" Target="https://www.sciencedirect.com/science/article/pii/S0926669022016028" TargetMode="External"/><Relationship Id="rId173" Type="http://schemas.openxmlformats.org/officeDocument/2006/relationships/hyperlink" Target="https://www.sciencedirect.com/science/article/pii/S0045653503009780" TargetMode="External"/><Relationship Id="rId229" Type="http://schemas.openxmlformats.org/officeDocument/2006/relationships/hyperlink" Target="https://www.sciencedirect.com/science/article/pii/S0045653519308616" TargetMode="External"/><Relationship Id="rId380" Type="http://schemas.openxmlformats.org/officeDocument/2006/relationships/hyperlink" Target="https://www.sciencedirect.com/science/article/pii/S0926669022016028" TargetMode="External"/><Relationship Id="rId436" Type="http://schemas.openxmlformats.org/officeDocument/2006/relationships/hyperlink" Target="https://www.scopus.com/record/display.uri?eid=2-s2.0-84942067031&amp;origin=recordpage" TargetMode="External"/><Relationship Id="rId240" Type="http://schemas.openxmlformats.org/officeDocument/2006/relationships/hyperlink" Target="https://www.sciencedirect.com/science/article/pii/S0045653519308616" TargetMode="External"/><Relationship Id="rId478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35" Type="http://schemas.openxmlformats.org/officeDocument/2006/relationships/hyperlink" Target="https://www.sciencedirect.com/science/article/abs/pii/S0166445X10002997" TargetMode="External"/><Relationship Id="rId77" Type="http://schemas.openxmlformats.org/officeDocument/2006/relationships/hyperlink" Target="https://link.springer.com/article/10.1007/s00216-003-1843-z" TargetMode="External"/><Relationship Id="rId100" Type="http://schemas.openxmlformats.org/officeDocument/2006/relationships/hyperlink" Target="https://www.sciencedirect.com/science/article/pii/S095965262100809X?casa_token=OVFaTnyEtzYAAAAA:AUwG2YlT7GlODEeUVGJ_YLAT3UEHFyipjRPAu5FigzDHwq-1OYKvQ-rl1GnHeysnaj-nYR_G5Yk" TargetMode="External"/><Relationship Id="rId282" Type="http://schemas.openxmlformats.org/officeDocument/2006/relationships/hyperlink" Target="https://www.sciencedirect.com/science/article/pii/S2213343721006655" TargetMode="External"/><Relationship Id="rId338" Type="http://schemas.openxmlformats.org/officeDocument/2006/relationships/hyperlink" Target="https://onlinelibrary.wiley.com/doi/full/10.1002/app.40749" TargetMode="External"/><Relationship Id="rId503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8" Type="http://schemas.openxmlformats.org/officeDocument/2006/relationships/hyperlink" Target="https://doi.org/10.1016/j.proenv.2011.03.032" TargetMode="External"/><Relationship Id="rId142" Type="http://schemas.openxmlformats.org/officeDocument/2006/relationships/hyperlink" Target="https://www.sciencedirect.com/science/article/pii/S2666765720300077" TargetMode="External"/><Relationship Id="rId184" Type="http://schemas.openxmlformats.org/officeDocument/2006/relationships/hyperlink" Target="https://www.sciencedirect.com/science/article/pii/S0008622301001981?via%3Dihub" TargetMode="External"/><Relationship Id="rId391" Type="http://schemas.openxmlformats.org/officeDocument/2006/relationships/hyperlink" Target="https://www.sciencedirect.com/science/article/pii/S0304389420301965" TargetMode="External"/><Relationship Id="rId405" Type="http://schemas.openxmlformats.org/officeDocument/2006/relationships/hyperlink" Target="https://www.sciencedirect.com/science/article/pii/S0048969720305246" TargetMode="External"/><Relationship Id="rId447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51" Type="http://schemas.openxmlformats.org/officeDocument/2006/relationships/hyperlink" Target="https://www.sciencedirect.com/science/article/pii/S0011916410005400" TargetMode="External"/><Relationship Id="rId489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6" Type="http://schemas.openxmlformats.org/officeDocument/2006/relationships/hyperlink" Target="https://www.researchgate.net/publication/244307502_Removal_of_Heavy_Metals_by_Adsorbent_Prepared_from_Pyrolyzed_Coffee_Residue_and_Clay" TargetMode="External"/><Relationship Id="rId293" Type="http://schemas.openxmlformats.org/officeDocument/2006/relationships/hyperlink" Target="https://www.sciencedirect.com/science/article/pii/S0926669020307469" TargetMode="External"/><Relationship Id="rId307" Type="http://schemas.openxmlformats.org/officeDocument/2006/relationships/hyperlink" Target="https://www.mdpi.com/1420-3049/25/13/3081" TargetMode="External"/><Relationship Id="rId349" Type="http://schemas.openxmlformats.org/officeDocument/2006/relationships/hyperlink" Target="https://www.sciencedirect.com/science/article/pii/S0960852418304267" TargetMode="External"/><Relationship Id="rId514" Type="http://schemas.openxmlformats.org/officeDocument/2006/relationships/hyperlink" Target="https://www.sciencedirect.com/science/article/pii/S0959652617301403" TargetMode="External"/><Relationship Id="rId88" Type="http://schemas.openxmlformats.org/officeDocument/2006/relationships/hyperlink" Target="https://www.sciencedirect.com/science/article/pii/S0147651317307881" TargetMode="External"/><Relationship Id="rId111" Type="http://schemas.openxmlformats.org/officeDocument/2006/relationships/hyperlink" Target="https://www.sciencedirect.com/science/article/pii/S2666765720300077" TargetMode="External"/><Relationship Id="rId153" Type="http://schemas.openxmlformats.org/officeDocument/2006/relationships/hyperlink" Target="https://iopscience.iop.org/article/10.1088/2053-1591/ab3ffb/meta" TargetMode="External"/><Relationship Id="rId195" Type="http://schemas.openxmlformats.org/officeDocument/2006/relationships/hyperlink" Target="https://www.sciencedirect.com/science/article/pii/S004896970500728X" TargetMode="External"/><Relationship Id="rId209" Type="http://schemas.openxmlformats.org/officeDocument/2006/relationships/hyperlink" Target="https://www.sciencedirect.com/science/article/pii/S0045653519308616" TargetMode="External"/><Relationship Id="rId360" Type="http://schemas.openxmlformats.org/officeDocument/2006/relationships/hyperlink" Target="https://www.sciencedirect.com/science/article/pii/S0263876221002318" TargetMode="External"/><Relationship Id="rId416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220" Type="http://schemas.openxmlformats.org/officeDocument/2006/relationships/hyperlink" Target="https://www.sciencedirect.com/science/article/pii/S0045653519308616" TargetMode="External"/><Relationship Id="rId458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5" Type="http://schemas.openxmlformats.org/officeDocument/2006/relationships/hyperlink" Target="https://www.researchgate.net/publication/352019334_Iron_incorporated_rice_husk_silica_as_a_sorbent_for_hexavalent_chromium_attenuation_in_aqueous_system" TargetMode="External"/><Relationship Id="rId57" Type="http://schemas.openxmlformats.org/officeDocument/2006/relationships/hyperlink" Target="https://www.sciencedirect.com/science/article/pii/S0964830514000353" TargetMode="External"/><Relationship Id="rId262" Type="http://schemas.openxmlformats.org/officeDocument/2006/relationships/hyperlink" Target="https://www.sciencedirect.com/science/article/pii/S2213343721006655" TargetMode="External"/><Relationship Id="rId318" Type="http://schemas.openxmlformats.org/officeDocument/2006/relationships/hyperlink" Target="https://www.sciencedirect.com/science/article/pii/S0304389420328387" TargetMode="External"/><Relationship Id="rId99" Type="http://schemas.openxmlformats.org/officeDocument/2006/relationships/hyperlink" Target="https://www.sciencedirect.com/science/article/pii/S095965262100809X?casa_token=OVFaTnyEtzYAAAAA:AUwG2YlT7GlODEeUVGJ_YLAT3UEHFyipjRPAu5FigzDHwq-1OYKvQ-rl1GnHeysnaj-nYR_G5Yk" TargetMode="External"/><Relationship Id="rId122" Type="http://schemas.openxmlformats.org/officeDocument/2006/relationships/hyperlink" Target="https://www.scientific.net/AMM.680.146.pdf" TargetMode="External"/><Relationship Id="rId164" Type="http://schemas.openxmlformats.org/officeDocument/2006/relationships/hyperlink" Target="https://iopscience.iop.org/article/10.1088/2053-1591/ab3ffb/meta" TargetMode="External"/><Relationship Id="rId371" Type="http://schemas.openxmlformats.org/officeDocument/2006/relationships/hyperlink" Target="https://www.sciencedirect.com/science/article/pii/S2468025719300184" TargetMode="External"/><Relationship Id="rId427" Type="http://schemas.openxmlformats.org/officeDocument/2006/relationships/hyperlink" Target="https://www.scopus.com/record/display.uri?eid=2-s2.0-84942067031&amp;origin=recordpage" TargetMode="External"/><Relationship Id="rId469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6" Type="http://schemas.openxmlformats.org/officeDocument/2006/relationships/hyperlink" Target="https://www.sciencedirect.com/science/article/abs/pii/S0960852411015859" TargetMode="External"/><Relationship Id="rId231" Type="http://schemas.openxmlformats.org/officeDocument/2006/relationships/hyperlink" Target="https://www.sciencedirect.com/science/article/pii/S0960852407004440" TargetMode="External"/><Relationship Id="rId273" Type="http://schemas.openxmlformats.org/officeDocument/2006/relationships/hyperlink" Target="https://www.sciencedirect.com/science/article/pii/S2213343721006655" TargetMode="External"/><Relationship Id="rId329" Type="http://schemas.openxmlformats.org/officeDocument/2006/relationships/hyperlink" Target="https://www.sciencedirect.com/science/article/pii/S0926669022016028" TargetMode="External"/><Relationship Id="rId480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68" Type="http://schemas.openxmlformats.org/officeDocument/2006/relationships/hyperlink" Target="https://www.sciencedirect.com/science/article/pii/S0045653501003241" TargetMode="External"/><Relationship Id="rId133" Type="http://schemas.openxmlformats.org/officeDocument/2006/relationships/hyperlink" Target="https://www.scientific.net/AMM.680.146.pdf" TargetMode="External"/><Relationship Id="rId175" Type="http://schemas.openxmlformats.org/officeDocument/2006/relationships/hyperlink" Target="https://www.sciencedirect.com/science/article/pii/S004896970500728X" TargetMode="External"/><Relationship Id="rId340" Type="http://schemas.openxmlformats.org/officeDocument/2006/relationships/hyperlink" Target="https://www.sciencedirect.com/science/article/pii/S0021979717313991" TargetMode="External"/><Relationship Id="rId200" Type="http://schemas.openxmlformats.org/officeDocument/2006/relationships/hyperlink" Target="https://www.sciencedirect.com/science/article/pii/S0169433213023088" TargetMode="External"/><Relationship Id="rId382" Type="http://schemas.openxmlformats.org/officeDocument/2006/relationships/hyperlink" Target="https://www.sciencedirect.com/science/article/pii/S0161589017305059" TargetMode="External"/><Relationship Id="rId438" Type="http://schemas.openxmlformats.org/officeDocument/2006/relationships/hyperlink" Target="https://www.scopus.com/record/display.uri?eid=2-s2.0-84942067031&amp;origin=recordpage" TargetMode="External"/><Relationship Id="rId242" Type="http://schemas.openxmlformats.org/officeDocument/2006/relationships/hyperlink" Target="https://www.sciencedirect.com/science/article/pii/S0045653519308616" TargetMode="External"/><Relationship Id="rId284" Type="http://schemas.openxmlformats.org/officeDocument/2006/relationships/hyperlink" Target="https://www.sciencedirect.com/science/article/pii/S2213343721006655" TargetMode="External"/><Relationship Id="rId491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05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37" Type="http://schemas.openxmlformats.org/officeDocument/2006/relationships/hyperlink" Target="https://www.sciencedirect.com/science/article/abs/pii/S1876107013002691" TargetMode="External"/><Relationship Id="rId79" Type="http://schemas.openxmlformats.org/officeDocument/2006/relationships/hyperlink" Target="https://www.sciencedirect.com/science/article/pii/S1385894705004055" TargetMode="External"/><Relationship Id="rId102" Type="http://schemas.openxmlformats.org/officeDocument/2006/relationships/hyperlink" Target="https://iopscience.iop.org/article/10.1088/2053-1591/ab3ffb/meta" TargetMode="External"/><Relationship Id="rId144" Type="http://schemas.openxmlformats.org/officeDocument/2006/relationships/hyperlink" Target="https://www.sciencedirect.com/science/article/pii/S2666765720300077" TargetMode="External"/><Relationship Id="rId90" Type="http://schemas.openxmlformats.org/officeDocument/2006/relationships/hyperlink" Target="https://www.sciencedirect.com/science/article/pii/S0147651317307881" TargetMode="External"/><Relationship Id="rId186" Type="http://schemas.openxmlformats.org/officeDocument/2006/relationships/hyperlink" Target="https://www.sciencedirect.com/science/article/pii/S0960852401000931" TargetMode="External"/><Relationship Id="rId351" Type="http://schemas.openxmlformats.org/officeDocument/2006/relationships/hyperlink" Target="https://www.sciencedirect.com/science/article/pii/S1385894712012272" TargetMode="External"/><Relationship Id="rId393" Type="http://schemas.openxmlformats.org/officeDocument/2006/relationships/hyperlink" Target="https://www.sciencedirect.com/science/article/pii/S0926669022016028" TargetMode="External"/><Relationship Id="rId407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49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11" Type="http://schemas.openxmlformats.org/officeDocument/2006/relationships/hyperlink" Target="https://www.sciencedirect.com/science/article/pii/S0045653519308616" TargetMode="External"/><Relationship Id="rId253" Type="http://schemas.openxmlformats.org/officeDocument/2006/relationships/hyperlink" Target="https://pubs.acs.org/doi/10.1021/je900585t?src=getftr&amp;utm_source=sciencedirect_contenthosting&amp;getft_integrator=sciencedirect_contenthosting" TargetMode="External"/><Relationship Id="rId295" Type="http://schemas.openxmlformats.org/officeDocument/2006/relationships/hyperlink" Target="https://www.sciencedirect.com/science/article/pii/S0141813019350937" TargetMode="External"/><Relationship Id="rId309" Type="http://schemas.openxmlformats.org/officeDocument/2006/relationships/hyperlink" Target="https://www.sciencedirect.com/science/article/pii/S0926669022016028" TargetMode="External"/><Relationship Id="rId460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16" Type="http://schemas.openxmlformats.org/officeDocument/2006/relationships/hyperlink" Target="https://www.sciencedirect.com/science/article/pii/S0959652617301447" TargetMode="External"/><Relationship Id="rId48" Type="http://schemas.openxmlformats.org/officeDocument/2006/relationships/hyperlink" Target="https://www.sciencedirect.com/science/article/pii/S0960852406000927" TargetMode="External"/><Relationship Id="rId113" Type="http://schemas.openxmlformats.org/officeDocument/2006/relationships/hyperlink" Target="https://www.sciencedirect.com/science/article/pii/S2666765720300077" TargetMode="External"/><Relationship Id="rId320" Type="http://schemas.openxmlformats.org/officeDocument/2006/relationships/hyperlink" Target="https://pubs.rsc.org/en/content/articlelanding/2021/ra/d0ra09190a" TargetMode="External"/><Relationship Id="rId155" Type="http://schemas.openxmlformats.org/officeDocument/2006/relationships/hyperlink" Target="https://iopscience.iop.org/article/10.1088/2053-1591/ab3ffb/meta" TargetMode="External"/><Relationship Id="rId197" Type="http://schemas.openxmlformats.org/officeDocument/2006/relationships/hyperlink" Target="https://www.sciencedirect.com/science/article/pii/S004896970500728X" TargetMode="External"/><Relationship Id="rId362" Type="http://schemas.openxmlformats.org/officeDocument/2006/relationships/hyperlink" Target="https://link.springer.com/article/10.1007/s11270-020-04788-4" TargetMode="External"/><Relationship Id="rId418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222" Type="http://schemas.openxmlformats.org/officeDocument/2006/relationships/hyperlink" Target="https://www.sciencedirect.com/science/article/pii/S0045653519308616" TargetMode="External"/><Relationship Id="rId264" Type="http://schemas.openxmlformats.org/officeDocument/2006/relationships/hyperlink" Target="https://www.sciencedirect.com/science/article/pii/S2213343721006655" TargetMode="External"/><Relationship Id="rId471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7" Type="http://schemas.openxmlformats.org/officeDocument/2006/relationships/hyperlink" Target="https://www.sciencedirect.com/science/article/abs/pii/S0960852407004440" TargetMode="External"/><Relationship Id="rId59" Type="http://schemas.openxmlformats.org/officeDocument/2006/relationships/hyperlink" Target="https://www.sciencedirect.com/science/article/pii/S1093019102000187" TargetMode="External"/><Relationship Id="rId124" Type="http://schemas.openxmlformats.org/officeDocument/2006/relationships/hyperlink" Target="https://www.sciencedirect.com/science/article/pii/S2666765720300077" TargetMode="External"/><Relationship Id="rId70" Type="http://schemas.openxmlformats.org/officeDocument/2006/relationships/hyperlink" Target="https://www.sciencedirect.com/science/article/pii/S0925857409000081" TargetMode="External"/><Relationship Id="rId166" Type="http://schemas.openxmlformats.org/officeDocument/2006/relationships/hyperlink" Target="https://iopscience.iop.org/article/10.1088/2053-1591/ab3ffb/meta" TargetMode="External"/><Relationship Id="rId331" Type="http://schemas.openxmlformats.org/officeDocument/2006/relationships/hyperlink" Target="https://www.sciencedirect.com/science/article/pii/S0926669022016028" TargetMode="External"/><Relationship Id="rId373" Type="http://schemas.openxmlformats.org/officeDocument/2006/relationships/hyperlink" Target="https://www.sciencedirect.com/science/article/pii/S0141813020337120" TargetMode="External"/><Relationship Id="rId429" Type="http://schemas.openxmlformats.org/officeDocument/2006/relationships/hyperlink" Target="https://www.scopus.com/record/display.uri?eid=2-s2.0-84942067031&amp;origin=recordpage" TargetMode="External"/><Relationship Id="rId1" Type="http://schemas.openxmlformats.org/officeDocument/2006/relationships/hyperlink" Target="https://doi.org/10.1016/j.hydromet.2015.11.005" TargetMode="External"/><Relationship Id="rId233" Type="http://schemas.openxmlformats.org/officeDocument/2006/relationships/hyperlink" Target="https://www.sciencedirect.com/science/article/pii/S0964830515000815" TargetMode="External"/><Relationship Id="rId440" Type="http://schemas.openxmlformats.org/officeDocument/2006/relationships/hyperlink" Target="https://www.sciencedirect.com/science/article/pii/S0960852418313993" TargetMode="External"/><Relationship Id="rId28" Type="http://schemas.openxmlformats.org/officeDocument/2006/relationships/hyperlink" Target="https://www.sciencedirect.com/science/article/abs/pii/S0301479712003702" TargetMode="External"/><Relationship Id="rId275" Type="http://schemas.openxmlformats.org/officeDocument/2006/relationships/hyperlink" Target="https://www.sciencedirect.com/science/article/pii/S2213343721006655" TargetMode="External"/><Relationship Id="rId300" Type="http://schemas.openxmlformats.org/officeDocument/2006/relationships/hyperlink" Target="https://www.sciencedirect.com/science/article/pii/S0926669022016028" TargetMode="External"/><Relationship Id="rId482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81" Type="http://schemas.openxmlformats.org/officeDocument/2006/relationships/hyperlink" Target="https://www.sciencedirect.com/science/article/pii/S0147651317307881" TargetMode="External"/><Relationship Id="rId135" Type="http://schemas.openxmlformats.org/officeDocument/2006/relationships/hyperlink" Target="https://link.springer.com/article/10.1007/s12010-011-9521-7" TargetMode="External"/><Relationship Id="rId177" Type="http://schemas.openxmlformats.org/officeDocument/2006/relationships/hyperlink" Target="https://www.sciencedirect.com/science/article/pii/S004896970500728X" TargetMode="External"/><Relationship Id="rId342" Type="http://schemas.openxmlformats.org/officeDocument/2006/relationships/hyperlink" Target="http://scholar.google.com/scholar?q=Peng+et+al.%2C+2020%2C+BSB%2C+Cd&amp;hl=en&amp;as_sdt=0%2C5&amp;as_ylo=2020&amp;as_yhi=2020" TargetMode="External"/><Relationship Id="rId384" Type="http://schemas.openxmlformats.org/officeDocument/2006/relationships/hyperlink" Target="https://www.sciencedirect.com/science/article/pii/S0926669022016028" TargetMode="External"/><Relationship Id="rId202" Type="http://schemas.openxmlformats.org/officeDocument/2006/relationships/hyperlink" Target="https://www.sciencedirect.com/science/article/pii/S1876107013002691" TargetMode="External"/><Relationship Id="rId244" Type="http://schemas.openxmlformats.org/officeDocument/2006/relationships/hyperlink" Target="https://www.sciencedirect.com/science/article/pii/S0045653519308616" TargetMode="External"/><Relationship Id="rId39" Type="http://schemas.openxmlformats.org/officeDocument/2006/relationships/hyperlink" Target="https://www.sciencedirect.com/science/article/abs/pii/S1381514815300535" TargetMode="External"/><Relationship Id="rId286" Type="http://schemas.openxmlformats.org/officeDocument/2006/relationships/hyperlink" Target="https://www.sciencedirect.com/science/article/pii/S2213343721006655" TargetMode="External"/><Relationship Id="rId451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493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07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0" Type="http://schemas.openxmlformats.org/officeDocument/2006/relationships/hyperlink" Target="https://www.sciencedirect.com/science/article/pii/S1385894707006316" TargetMode="External"/><Relationship Id="rId104" Type="http://schemas.openxmlformats.org/officeDocument/2006/relationships/hyperlink" Target="https://iopscience.iop.org/article/10.1088/2053-1591/ab3ffb/meta" TargetMode="External"/><Relationship Id="rId146" Type="http://schemas.openxmlformats.org/officeDocument/2006/relationships/hyperlink" Target="https://www.sciencedirect.com/science/article/pii/S2666765720300077" TargetMode="External"/><Relationship Id="rId188" Type="http://schemas.openxmlformats.org/officeDocument/2006/relationships/hyperlink" Target="https://iwaponline.com/wst/article/47/1/185/10681/Adsorption-of-heavy-metals-from-water-using-banana" TargetMode="External"/><Relationship Id="rId311" Type="http://schemas.openxmlformats.org/officeDocument/2006/relationships/hyperlink" Target="https://www.sciencedirect.com/science/article/pii/S0926669022016028" TargetMode="External"/><Relationship Id="rId353" Type="http://schemas.openxmlformats.org/officeDocument/2006/relationships/hyperlink" Target="https://www.sciencedirect.com/science/article/pii/S0926669022016028" TargetMode="External"/><Relationship Id="rId395" Type="http://schemas.openxmlformats.org/officeDocument/2006/relationships/hyperlink" Target="https://pubs.rsc.org/en/content/articlehtml/2020/ra/d0ra03439h" TargetMode="External"/><Relationship Id="rId409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92" Type="http://schemas.openxmlformats.org/officeDocument/2006/relationships/hyperlink" Target="https://www.sciencedirect.com/science/article/pii/S0147651317307881" TargetMode="External"/><Relationship Id="rId213" Type="http://schemas.openxmlformats.org/officeDocument/2006/relationships/hyperlink" Target="https://www.sciencedirect.com/science/article/pii/S0045653519308616" TargetMode="External"/><Relationship Id="rId420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255" Type="http://schemas.openxmlformats.org/officeDocument/2006/relationships/hyperlink" Target="https://pubs.acs.org/doi/10.1021/je900585t?src=getftr&amp;utm_source=sciencedirect_contenthosting&amp;getft_integrator=sciencedirect_contenthosting" TargetMode="External"/><Relationship Id="rId297" Type="http://schemas.openxmlformats.org/officeDocument/2006/relationships/hyperlink" Target="https://www.sciencedirect.com/science/article/pii/S1385894718323647?via%3Dihub" TargetMode="External"/><Relationship Id="rId462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18" Type="http://schemas.openxmlformats.org/officeDocument/2006/relationships/hyperlink" Target="https://www.sciencedirect.com/science/article/pii/S0045653515006992" TargetMode="External"/><Relationship Id="rId115" Type="http://schemas.openxmlformats.org/officeDocument/2006/relationships/hyperlink" Target="https://www.sciencedirect.com/science/article/pii/S2666765720300077" TargetMode="External"/><Relationship Id="rId157" Type="http://schemas.openxmlformats.org/officeDocument/2006/relationships/hyperlink" Target="https://iopscience.iop.org/article/10.1088/2053-1591/ab3ffb/meta" TargetMode="External"/><Relationship Id="rId322" Type="http://schemas.openxmlformats.org/officeDocument/2006/relationships/hyperlink" Target="https://www.sciencedirect.com/science/article/pii/S0926669022016028" TargetMode="External"/><Relationship Id="rId364" Type="http://schemas.openxmlformats.org/officeDocument/2006/relationships/hyperlink" Target="https://www.sciencedirect.com/science/article/pii/S0950061818306639" TargetMode="External"/><Relationship Id="rId61" Type="http://schemas.openxmlformats.org/officeDocument/2006/relationships/hyperlink" Target="https://www.sciencedirect.com/science/article/pii/S0301479710000393" TargetMode="External"/><Relationship Id="rId199" Type="http://schemas.openxmlformats.org/officeDocument/2006/relationships/hyperlink" Target="https://www.sciencedirect.com/science/article/pii/S0304389410008125" TargetMode="External"/><Relationship Id="rId19" Type="http://schemas.openxmlformats.org/officeDocument/2006/relationships/hyperlink" Target="https://www.researchgate.net/publication/271636024_CrVI_reduction_in_naturally_rich_growth_medium_and_sugarcane_bagasse_by_Acinetobacter_haemolyticus" TargetMode="External"/><Relationship Id="rId224" Type="http://schemas.openxmlformats.org/officeDocument/2006/relationships/hyperlink" Target="https://www.sciencedirect.com/science/article/pii/S0045653519308616" TargetMode="External"/><Relationship Id="rId266" Type="http://schemas.openxmlformats.org/officeDocument/2006/relationships/hyperlink" Target="https://www.sciencedirect.com/science/article/pii/S2213343721006655" TargetMode="External"/><Relationship Id="rId431" Type="http://schemas.openxmlformats.org/officeDocument/2006/relationships/hyperlink" Target="https://www.scopus.com/record/display.uri?eid=2-s2.0-84942067031&amp;origin=recordpage" TargetMode="External"/><Relationship Id="rId473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30" Type="http://schemas.openxmlformats.org/officeDocument/2006/relationships/hyperlink" Target="https://www.sciencedirect.com/science/article/abs/pii/S030438940600762X" TargetMode="External"/><Relationship Id="rId126" Type="http://schemas.openxmlformats.org/officeDocument/2006/relationships/hyperlink" Target="https://www.sciencedirect.com/science/article/pii/S2666765720300077" TargetMode="External"/><Relationship Id="rId168" Type="http://schemas.openxmlformats.org/officeDocument/2006/relationships/hyperlink" Target="https://iopscience.iop.org/article/10.1088/2053-1591/ab3ffb/meta" TargetMode="External"/><Relationship Id="rId333" Type="http://schemas.openxmlformats.org/officeDocument/2006/relationships/hyperlink" Target="https://www.sciencedirect.com/science/article/pii/S0926669022016028" TargetMode="External"/><Relationship Id="rId72" Type="http://schemas.openxmlformats.org/officeDocument/2006/relationships/hyperlink" Target="https://www.researchgate.net/publication/6212973_Comparative_Study_of_Biosorption_of_Heavy_Metals_Using_Different_Types_of_Algae" TargetMode="External"/><Relationship Id="rId375" Type="http://schemas.openxmlformats.org/officeDocument/2006/relationships/hyperlink" Target="https://www.sciencedirect.com/science/article/pii/S0926669022016028" TargetMode="External"/><Relationship Id="rId3" Type="http://schemas.openxmlformats.org/officeDocument/2006/relationships/hyperlink" Target="https://www.sciencedirect.com/science/article/abs/pii/S0969806X15300943" TargetMode="External"/><Relationship Id="rId235" Type="http://schemas.openxmlformats.org/officeDocument/2006/relationships/hyperlink" Target="https://www.sciencedirect.com/science/article/pii/S0960852406002100" TargetMode="External"/><Relationship Id="rId277" Type="http://schemas.openxmlformats.org/officeDocument/2006/relationships/hyperlink" Target="https://www.sciencedirect.com/science/article/pii/S2213343721006655" TargetMode="External"/><Relationship Id="rId400" Type="http://schemas.openxmlformats.org/officeDocument/2006/relationships/hyperlink" Target="https://pubs.rsc.org/en/content/articlehtml/2020/ra/d0ra03439h" TargetMode="External"/><Relationship Id="rId442" Type="http://schemas.openxmlformats.org/officeDocument/2006/relationships/hyperlink" Target="https://www.sciencedirect.com/science/article/pii/S0960852414012243?via%3Dihub" TargetMode="External"/><Relationship Id="rId484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37" Type="http://schemas.openxmlformats.org/officeDocument/2006/relationships/hyperlink" Target="https://www.sciencedirect.com/science/article/pii/S0301751613000653" TargetMode="External"/><Relationship Id="rId302" Type="http://schemas.openxmlformats.org/officeDocument/2006/relationships/hyperlink" Target="https://www.sciencedirect.com/science/article/pii/S0926669022016028" TargetMode="External"/><Relationship Id="rId344" Type="http://schemas.openxmlformats.org/officeDocument/2006/relationships/hyperlink" Target="https://www.sciencedirect.com/science/article/pii/S0926669022016028" TargetMode="External"/><Relationship Id="rId41" Type="http://schemas.openxmlformats.org/officeDocument/2006/relationships/hyperlink" Target="https://www.sciencedirect.com/science/article/abs/pii/S030438940500405X" TargetMode="External"/><Relationship Id="rId83" Type="http://schemas.openxmlformats.org/officeDocument/2006/relationships/hyperlink" Target="https://www.sciencedirect.com/science/article/pii/S0277538709005816" TargetMode="External"/><Relationship Id="rId179" Type="http://schemas.openxmlformats.org/officeDocument/2006/relationships/hyperlink" Target="https://www.sciencedirect.com/science/article/pii/S004896970500728X" TargetMode="External"/><Relationship Id="rId386" Type="http://schemas.openxmlformats.org/officeDocument/2006/relationships/hyperlink" Target="http://sciencedirect.com/science/article/pii/S0301479717308617" TargetMode="External"/><Relationship Id="rId190" Type="http://schemas.openxmlformats.org/officeDocument/2006/relationships/hyperlink" Target="https://iwaponline.com/wst/article/47/1/185/10681/Adsorption-of-heavy-metals-from-water-using-banana" TargetMode="External"/><Relationship Id="rId204" Type="http://schemas.openxmlformats.org/officeDocument/2006/relationships/hyperlink" Target="https://www.sciencedirect.com/science/article/pii/S1381514815300535" TargetMode="External"/><Relationship Id="rId246" Type="http://schemas.openxmlformats.org/officeDocument/2006/relationships/hyperlink" Target="https://www.sciencedirect.com/science/article/pii/S0045653519308616" TargetMode="External"/><Relationship Id="rId288" Type="http://schemas.openxmlformats.org/officeDocument/2006/relationships/hyperlink" Target="https://www.sciencedirect.com/science/article/pii/S2213343721006655" TargetMode="External"/><Relationship Id="rId411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53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509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06" Type="http://schemas.openxmlformats.org/officeDocument/2006/relationships/hyperlink" Target="https://iopscience.iop.org/article/10.1088/2053-1591/ab3ffb/meta" TargetMode="External"/><Relationship Id="rId313" Type="http://schemas.openxmlformats.org/officeDocument/2006/relationships/hyperlink" Target="https://www.sciencedirect.com/science/article/pii/S0926669022016028" TargetMode="External"/><Relationship Id="rId495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10" Type="http://schemas.openxmlformats.org/officeDocument/2006/relationships/hyperlink" Target="https://doi.org/10.1016/j.jece.2013.12.014" TargetMode="External"/><Relationship Id="rId52" Type="http://schemas.openxmlformats.org/officeDocument/2006/relationships/hyperlink" Target="https://www.sciencedirect.com/science/article/pii/S0304389407008084" TargetMode="External"/><Relationship Id="rId94" Type="http://schemas.openxmlformats.org/officeDocument/2006/relationships/hyperlink" Target="https://www.sciencedirect.com/science/article/pii/S0147651317307881" TargetMode="External"/><Relationship Id="rId148" Type="http://schemas.openxmlformats.org/officeDocument/2006/relationships/hyperlink" Target="https://www.sciencedirect.com/science/article/pii/S2666765720300077" TargetMode="External"/><Relationship Id="rId355" Type="http://schemas.openxmlformats.org/officeDocument/2006/relationships/hyperlink" Target="https://www.sciencedirect.com/science/article/pii/S0926669022016028" TargetMode="External"/><Relationship Id="rId397" Type="http://schemas.openxmlformats.org/officeDocument/2006/relationships/hyperlink" Target="https://pubs.rsc.org/en/content/articlehtml/2020/ra/d0ra03439h" TargetMode="External"/><Relationship Id="rId215" Type="http://schemas.openxmlformats.org/officeDocument/2006/relationships/hyperlink" Target="https://www.sciencedirect.com/science/article/pii/S0304389407002506" TargetMode="External"/><Relationship Id="rId257" Type="http://schemas.openxmlformats.org/officeDocument/2006/relationships/hyperlink" Target="https://www.sciencedirect.com/science/article/pii/S2213343721006655" TargetMode="External"/><Relationship Id="rId422" Type="http://schemas.openxmlformats.org/officeDocument/2006/relationships/hyperlink" Target="https://www.academia.edu/34614277/The_role_of_biochar_properties_in_influencing_the_sorption_and_desorption_of_Pb_II_Cd_II_and_As_III_in_aqueous_solution" TargetMode="External"/><Relationship Id="rId464" Type="http://schemas.openxmlformats.org/officeDocument/2006/relationships/hyperlink" Target="https://link.springer.com/article/10.1007/s11356-017-8847-2?utm_source=getftr&amp;utm_medium=getftr&amp;utm_campaign=getftr_pilot&amp;getft_integrator=scopus" TargetMode="External"/><Relationship Id="rId299" Type="http://schemas.openxmlformats.org/officeDocument/2006/relationships/hyperlink" Target="https://bioresources.cnr.ncsu.edu/resources/a-novel-gallic-acid-grafted-lignin-biosorbent-for-the-selected-removal-of-lead-ions-from-aqueous-solutions/" TargetMode="External"/><Relationship Id="rId63" Type="http://schemas.openxmlformats.org/officeDocument/2006/relationships/hyperlink" Target="https://www.sciencedirect.com/science/article/pii/S0960852407005858" TargetMode="External"/><Relationship Id="rId159" Type="http://schemas.openxmlformats.org/officeDocument/2006/relationships/hyperlink" Target="https://iopscience.iop.org/article/10.1088/2053-1591/ab3ffb/meta" TargetMode="External"/><Relationship Id="rId366" Type="http://schemas.openxmlformats.org/officeDocument/2006/relationships/hyperlink" Target="https://www.sciencedirect.com/science/article/pii/S00219797150002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1040"/>
  <sheetViews>
    <sheetView tabSelected="1" topLeftCell="B1" workbookViewId="0">
      <pane ySplit="1" topLeftCell="A2" activePane="bottomLeft" state="frozen"/>
      <selection pane="bottomLeft" activeCell="E18" sqref="E18"/>
    </sheetView>
  </sheetViews>
  <sheetFormatPr defaultColWidth="12.6640625" defaultRowHeight="15.75" customHeight="1"/>
  <cols>
    <col min="1" max="1" width="80.88671875" customWidth="1"/>
    <col min="2" max="2" width="16.21875" customWidth="1"/>
    <col min="3" max="3" width="19.33203125" customWidth="1"/>
    <col min="4" max="4" width="23.88671875" customWidth="1"/>
    <col min="5" max="5" width="23.77734375" customWidth="1"/>
    <col min="6" max="6" width="22.6640625" customWidth="1"/>
    <col min="7" max="7" width="18.33203125" customWidth="1"/>
    <col min="8" max="8" width="11.77734375" customWidth="1"/>
    <col min="9" max="9" width="6.6640625" customWidth="1"/>
    <col min="10" max="10" width="9.33203125" customWidth="1"/>
    <col min="11" max="11" width="6.6640625" customWidth="1"/>
    <col min="12" max="12" width="38.33203125" customWidth="1"/>
    <col min="13" max="13" width="92" customWidth="1"/>
    <col min="14" max="14" width="0.33203125" customWidth="1"/>
  </cols>
  <sheetData>
    <row r="1" spans="1:42" ht="15.6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</row>
    <row r="2" spans="1:42" ht="15">
      <c r="A2" s="5" t="s">
        <v>12</v>
      </c>
      <c r="B2" s="6" t="s">
        <v>13</v>
      </c>
      <c r="C2" s="7">
        <v>136</v>
      </c>
      <c r="D2" s="6">
        <v>45</v>
      </c>
      <c r="E2" s="8">
        <v>1000</v>
      </c>
      <c r="F2" s="9">
        <v>90.65</v>
      </c>
      <c r="G2" s="8">
        <v>120</v>
      </c>
      <c r="H2" s="8">
        <v>1.3</v>
      </c>
      <c r="I2" s="9">
        <v>125</v>
      </c>
      <c r="J2" s="8">
        <v>4</v>
      </c>
      <c r="K2" s="9">
        <v>298</v>
      </c>
      <c r="L2" s="10" t="s">
        <v>14</v>
      </c>
      <c r="M2" s="11" t="s">
        <v>15</v>
      </c>
      <c r="N2" s="12"/>
      <c r="O2" s="12"/>
      <c r="P2" s="12"/>
    </row>
    <row r="3" spans="1:42" ht="13.8">
      <c r="A3" s="13" t="s">
        <v>16</v>
      </c>
      <c r="B3" s="6" t="s">
        <v>13</v>
      </c>
      <c r="C3" s="7">
        <v>117.97</v>
      </c>
      <c r="D3" s="14">
        <v>35.299999999999997</v>
      </c>
      <c r="E3" s="8">
        <v>25</v>
      </c>
      <c r="F3" s="8">
        <v>70</v>
      </c>
      <c r="G3" s="8">
        <v>90</v>
      </c>
      <c r="H3" s="8">
        <v>1</v>
      </c>
      <c r="I3" s="9">
        <v>125</v>
      </c>
      <c r="J3" s="8">
        <v>3</v>
      </c>
      <c r="K3" s="9">
        <v>298</v>
      </c>
      <c r="L3" s="10" t="s">
        <v>17</v>
      </c>
      <c r="M3" s="15" t="s">
        <v>18</v>
      </c>
      <c r="N3" s="12"/>
      <c r="O3" s="12"/>
    </row>
    <row r="4" spans="1:42" ht="13.8">
      <c r="A4" s="5" t="s">
        <v>19</v>
      </c>
      <c r="B4" s="6" t="s">
        <v>13</v>
      </c>
      <c r="C4" s="7">
        <v>2630</v>
      </c>
      <c r="D4" s="6">
        <v>82.4</v>
      </c>
      <c r="E4" s="9">
        <v>50</v>
      </c>
      <c r="F4" s="8">
        <v>93</v>
      </c>
      <c r="G4" s="8">
        <v>45</v>
      </c>
      <c r="H4" s="9">
        <v>1</v>
      </c>
      <c r="I4" s="9">
        <v>125</v>
      </c>
      <c r="J4" s="8">
        <v>1.1000000000000001</v>
      </c>
      <c r="K4" s="9">
        <v>298</v>
      </c>
      <c r="L4" s="10" t="s">
        <v>20</v>
      </c>
      <c r="M4" s="16" t="s">
        <v>21</v>
      </c>
    </row>
    <row r="5" spans="1:42" ht="13.8">
      <c r="A5" s="17" t="s">
        <v>22</v>
      </c>
      <c r="B5" s="18" t="s">
        <v>13</v>
      </c>
      <c r="C5" s="19">
        <v>157</v>
      </c>
      <c r="D5" s="18">
        <v>2859.38</v>
      </c>
      <c r="E5" s="19">
        <v>14</v>
      </c>
      <c r="F5" s="20">
        <v>93</v>
      </c>
      <c r="G5" s="20">
        <v>90</v>
      </c>
      <c r="H5" s="20">
        <v>10</v>
      </c>
      <c r="I5" s="20">
        <v>125</v>
      </c>
      <c r="J5" s="20">
        <v>1.5</v>
      </c>
      <c r="K5" s="20">
        <v>298</v>
      </c>
      <c r="L5" s="21" t="s">
        <v>23</v>
      </c>
      <c r="M5" s="22" t="s">
        <v>24</v>
      </c>
      <c r="N5" s="23"/>
      <c r="O5" s="23"/>
      <c r="P5" s="23"/>
      <c r="Q5" s="23"/>
      <c r="R5" s="23"/>
      <c r="S5" s="23"/>
      <c r="T5" s="23"/>
    </row>
    <row r="6" spans="1:42" ht="13.8">
      <c r="A6" s="13" t="s">
        <v>25</v>
      </c>
      <c r="B6" s="6" t="s">
        <v>13</v>
      </c>
      <c r="C6" s="24">
        <f>ROUND(92.65 * 6.022 * PI() * (0.44)^2 / 52, 2)</f>
        <v>6.53</v>
      </c>
      <c r="D6" s="25">
        <v>92.65</v>
      </c>
      <c r="E6" s="8">
        <v>52</v>
      </c>
      <c r="F6" s="8">
        <v>92.65</v>
      </c>
      <c r="G6" s="8">
        <v>12</v>
      </c>
      <c r="H6" s="9">
        <v>1</v>
      </c>
      <c r="I6" s="9">
        <v>125</v>
      </c>
      <c r="J6" s="8">
        <v>5</v>
      </c>
      <c r="K6" s="9">
        <v>298</v>
      </c>
      <c r="L6" s="10" t="s">
        <v>26</v>
      </c>
      <c r="M6" s="26" t="s">
        <v>27</v>
      </c>
      <c r="N6" s="12"/>
      <c r="O6" s="12"/>
      <c r="P6" s="12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</row>
    <row r="7" spans="1:42" ht="13.8">
      <c r="A7" s="5" t="s">
        <v>28</v>
      </c>
      <c r="B7" s="6" t="s">
        <v>13</v>
      </c>
      <c r="C7" s="7">
        <f t="shared" ref="C7:C26" si="0">ROUND(D7 * 6.022 * PI() * (0.44)^2 / 52, 2)</f>
        <v>1.52</v>
      </c>
      <c r="D7" s="6">
        <v>21.57</v>
      </c>
      <c r="E7" s="8">
        <v>75</v>
      </c>
      <c r="F7" s="8">
        <v>98.2</v>
      </c>
      <c r="G7" s="8">
        <v>60</v>
      </c>
      <c r="H7" s="8">
        <v>400</v>
      </c>
      <c r="I7" s="9">
        <v>125</v>
      </c>
      <c r="J7" s="8">
        <v>2</v>
      </c>
      <c r="K7" s="9">
        <v>298</v>
      </c>
      <c r="L7" s="10" t="s">
        <v>29</v>
      </c>
      <c r="M7" s="16" t="s">
        <v>30</v>
      </c>
    </row>
    <row r="8" spans="1:42" ht="13.8">
      <c r="A8" s="13" t="s">
        <v>31</v>
      </c>
      <c r="B8" s="6" t="s">
        <v>13</v>
      </c>
      <c r="C8" s="7">
        <f t="shared" si="0"/>
        <v>7.13</v>
      </c>
      <c r="D8" s="6">
        <v>101.2</v>
      </c>
      <c r="E8" s="8">
        <v>30</v>
      </c>
      <c r="F8" s="8">
        <v>80</v>
      </c>
      <c r="G8" s="8">
        <v>420</v>
      </c>
      <c r="H8" s="8">
        <v>0.6</v>
      </c>
      <c r="I8" s="9">
        <v>125</v>
      </c>
      <c r="J8" s="8">
        <v>2</v>
      </c>
      <c r="K8" s="9">
        <v>298</v>
      </c>
      <c r="L8" s="10" t="s">
        <v>32</v>
      </c>
      <c r="M8" s="15" t="s">
        <v>33</v>
      </c>
      <c r="N8" s="12"/>
      <c r="O8" s="12"/>
    </row>
    <row r="9" spans="1:42" ht="13.8">
      <c r="A9" s="5" t="s">
        <v>34</v>
      </c>
      <c r="B9" s="6" t="s">
        <v>13</v>
      </c>
      <c r="C9" s="7">
        <f t="shared" si="0"/>
        <v>2.4900000000000002</v>
      </c>
      <c r="D9" s="14">
        <v>35.299999999999997</v>
      </c>
      <c r="E9" s="8">
        <v>110</v>
      </c>
      <c r="F9" s="8">
        <v>100</v>
      </c>
      <c r="G9" s="8">
        <v>240</v>
      </c>
      <c r="H9" s="8">
        <v>5</v>
      </c>
      <c r="I9" s="9">
        <v>125</v>
      </c>
      <c r="J9" s="8">
        <v>2</v>
      </c>
      <c r="K9" s="9">
        <v>298</v>
      </c>
      <c r="L9" s="10" t="s">
        <v>35</v>
      </c>
      <c r="M9" s="15" t="s">
        <v>36</v>
      </c>
      <c r="N9" s="12"/>
      <c r="O9" s="12"/>
    </row>
    <row r="10" spans="1:42" ht="13.8">
      <c r="A10" s="13" t="s">
        <v>37</v>
      </c>
      <c r="B10" s="6" t="s">
        <v>13</v>
      </c>
      <c r="C10" s="7">
        <f t="shared" si="0"/>
        <v>4.33</v>
      </c>
      <c r="D10" s="6">
        <f>(10.61+112.36)/2</f>
        <v>61.484999999999999</v>
      </c>
      <c r="E10" s="8">
        <v>50</v>
      </c>
      <c r="F10" s="8">
        <v>98</v>
      </c>
      <c r="G10" s="8">
        <v>40</v>
      </c>
      <c r="H10" s="8">
        <v>2</v>
      </c>
      <c r="I10" s="9">
        <v>125</v>
      </c>
      <c r="J10" s="8">
        <v>1</v>
      </c>
      <c r="K10" s="9">
        <v>298</v>
      </c>
      <c r="L10" s="10" t="s">
        <v>38</v>
      </c>
      <c r="M10" s="16" t="s">
        <v>39</v>
      </c>
    </row>
    <row r="11" spans="1:42" ht="13.8">
      <c r="A11" s="5" t="s">
        <v>40</v>
      </c>
      <c r="B11" s="6" t="s">
        <v>13</v>
      </c>
      <c r="C11" s="7">
        <f t="shared" si="0"/>
        <v>8.7100000000000009</v>
      </c>
      <c r="D11" s="6">
        <f>(106.4+140.8)/2</f>
        <v>123.60000000000001</v>
      </c>
      <c r="E11" s="8">
        <v>65</v>
      </c>
      <c r="F11" s="9">
        <v>90.65</v>
      </c>
      <c r="G11" s="8">
        <v>360</v>
      </c>
      <c r="H11" s="8">
        <v>1.3</v>
      </c>
      <c r="I11" s="9">
        <v>125</v>
      </c>
      <c r="J11" s="8">
        <v>6</v>
      </c>
      <c r="K11" s="9">
        <v>298</v>
      </c>
      <c r="L11" s="10" t="s">
        <v>41</v>
      </c>
      <c r="M11" s="26" t="s">
        <v>42</v>
      </c>
      <c r="N11" s="12"/>
      <c r="O11" s="12"/>
    </row>
    <row r="12" spans="1:42" ht="13.8">
      <c r="A12" s="13" t="s">
        <v>43</v>
      </c>
      <c r="B12" s="6" t="s">
        <v>44</v>
      </c>
      <c r="C12" s="7">
        <f t="shared" si="0"/>
        <v>2.4900000000000002</v>
      </c>
      <c r="D12" s="14">
        <v>35.299999999999997</v>
      </c>
      <c r="E12" s="8">
        <v>30</v>
      </c>
      <c r="F12" s="8">
        <v>28</v>
      </c>
      <c r="G12" s="8">
        <v>40</v>
      </c>
      <c r="H12" s="8">
        <v>2</v>
      </c>
      <c r="I12" s="9">
        <v>125</v>
      </c>
      <c r="J12" s="8">
        <v>6.5</v>
      </c>
      <c r="K12" s="9">
        <v>298</v>
      </c>
      <c r="L12" s="10" t="s">
        <v>45</v>
      </c>
      <c r="M12" s="16" t="s">
        <v>46</v>
      </c>
    </row>
    <row r="13" spans="1:42" ht="13.8">
      <c r="A13" s="5" t="s">
        <v>47</v>
      </c>
      <c r="B13" s="6" t="s">
        <v>13</v>
      </c>
      <c r="C13" s="7">
        <f t="shared" si="0"/>
        <v>4.6500000000000004</v>
      </c>
      <c r="D13" s="6">
        <v>66</v>
      </c>
      <c r="E13" s="8">
        <v>50</v>
      </c>
      <c r="F13" s="8">
        <v>100</v>
      </c>
      <c r="G13" s="8">
        <v>120</v>
      </c>
      <c r="H13" s="8">
        <v>6.5</v>
      </c>
      <c r="I13" s="9">
        <v>125</v>
      </c>
      <c r="J13" s="8">
        <v>1</v>
      </c>
      <c r="K13" s="9">
        <v>298</v>
      </c>
      <c r="L13" s="10" t="s">
        <v>48</v>
      </c>
      <c r="M13" s="16" t="s">
        <v>49</v>
      </c>
      <c r="U13" s="27"/>
    </row>
    <row r="14" spans="1:42" ht="13.8">
      <c r="A14" s="5" t="s">
        <v>50</v>
      </c>
      <c r="B14" s="6" t="s">
        <v>13</v>
      </c>
      <c r="C14" s="7">
        <f t="shared" si="0"/>
        <v>0.19</v>
      </c>
      <c r="D14" s="6">
        <v>2.7</v>
      </c>
      <c r="E14" s="8">
        <v>30</v>
      </c>
      <c r="F14" s="8">
        <v>84.8</v>
      </c>
      <c r="G14" s="8">
        <v>48</v>
      </c>
      <c r="H14" s="8">
        <v>0.8</v>
      </c>
      <c r="I14" s="9">
        <v>125</v>
      </c>
      <c r="J14" s="8">
        <v>2.5</v>
      </c>
      <c r="K14" s="9">
        <v>298</v>
      </c>
      <c r="L14" s="10" t="s">
        <v>51</v>
      </c>
      <c r="M14" s="16" t="s">
        <v>52</v>
      </c>
    </row>
    <row r="15" spans="1:42" ht="13.8">
      <c r="A15" s="5" t="s">
        <v>53</v>
      </c>
      <c r="B15" s="6" t="s">
        <v>13</v>
      </c>
      <c r="C15" s="7">
        <f t="shared" si="0"/>
        <v>7.04</v>
      </c>
      <c r="D15" s="6">
        <v>100</v>
      </c>
      <c r="E15" s="8">
        <v>75</v>
      </c>
      <c r="F15" s="8">
        <v>98</v>
      </c>
      <c r="G15" s="8">
        <v>31.4</v>
      </c>
      <c r="H15" s="9">
        <v>1</v>
      </c>
      <c r="I15" s="9">
        <v>125</v>
      </c>
      <c r="J15" s="9">
        <v>5</v>
      </c>
      <c r="K15" s="9">
        <v>298</v>
      </c>
      <c r="L15" s="10" t="s">
        <v>54</v>
      </c>
      <c r="M15" s="16" t="s">
        <v>55</v>
      </c>
    </row>
    <row r="16" spans="1:42" ht="13.8">
      <c r="A16" s="5" t="s">
        <v>56</v>
      </c>
      <c r="B16" s="6" t="s">
        <v>13</v>
      </c>
      <c r="C16" s="7">
        <f t="shared" si="0"/>
        <v>4.49</v>
      </c>
      <c r="D16" s="6">
        <v>63.69</v>
      </c>
      <c r="E16" s="8">
        <v>175</v>
      </c>
      <c r="F16" s="8">
        <v>71</v>
      </c>
      <c r="G16" s="8">
        <v>120</v>
      </c>
      <c r="H16" s="8">
        <v>2</v>
      </c>
      <c r="I16" s="9">
        <v>125</v>
      </c>
      <c r="J16" s="8">
        <v>2</v>
      </c>
      <c r="K16" s="9">
        <v>298</v>
      </c>
      <c r="L16" s="10" t="s">
        <v>57</v>
      </c>
      <c r="M16" s="16" t="s">
        <v>58</v>
      </c>
      <c r="O16" s="12"/>
    </row>
    <row r="17" spans="1:13" ht="13.8">
      <c r="A17" s="5" t="s">
        <v>59</v>
      </c>
      <c r="B17" s="6" t="s">
        <v>13</v>
      </c>
      <c r="C17" s="7">
        <f t="shared" si="0"/>
        <v>0.77</v>
      </c>
      <c r="D17" s="6">
        <f>(8.7+13.1)/2</f>
        <v>10.899999999999999</v>
      </c>
      <c r="E17" s="8">
        <v>75</v>
      </c>
      <c r="F17" s="8">
        <v>86</v>
      </c>
      <c r="G17" s="8">
        <v>150</v>
      </c>
      <c r="H17" s="8">
        <v>4</v>
      </c>
      <c r="I17" s="9">
        <v>125</v>
      </c>
      <c r="J17" s="8">
        <v>2</v>
      </c>
      <c r="K17" s="9">
        <v>298</v>
      </c>
      <c r="L17" s="10" t="s">
        <v>60</v>
      </c>
      <c r="M17" s="16" t="s">
        <v>61</v>
      </c>
    </row>
    <row r="18" spans="1:13" ht="13.8">
      <c r="A18" s="5" t="s">
        <v>62</v>
      </c>
      <c r="B18" s="6" t="s">
        <v>13</v>
      </c>
      <c r="C18" s="7">
        <f t="shared" si="0"/>
        <v>2.11</v>
      </c>
      <c r="D18" s="6">
        <v>29.96</v>
      </c>
      <c r="E18" s="8">
        <v>30</v>
      </c>
      <c r="F18" s="8">
        <v>98</v>
      </c>
      <c r="G18" s="8">
        <v>120</v>
      </c>
      <c r="H18" s="8">
        <v>1</v>
      </c>
      <c r="I18" s="9">
        <v>125</v>
      </c>
      <c r="J18" s="8">
        <v>8</v>
      </c>
      <c r="K18" s="9">
        <v>298</v>
      </c>
      <c r="L18" s="10" t="s">
        <v>63</v>
      </c>
      <c r="M18" s="16" t="s">
        <v>64</v>
      </c>
    </row>
    <row r="19" spans="1:13" ht="13.8">
      <c r="A19" s="5" t="s">
        <v>65</v>
      </c>
      <c r="B19" s="6" t="s">
        <v>13</v>
      </c>
      <c r="C19" s="7">
        <f t="shared" si="0"/>
        <v>5.37</v>
      </c>
      <c r="D19" s="6">
        <v>76.3</v>
      </c>
      <c r="E19" s="8">
        <v>40</v>
      </c>
      <c r="F19" s="8">
        <v>96</v>
      </c>
      <c r="G19" s="8">
        <v>90</v>
      </c>
      <c r="H19" s="8">
        <v>3.2</v>
      </c>
      <c r="I19" s="9">
        <v>125</v>
      </c>
      <c r="J19" s="8">
        <v>2</v>
      </c>
      <c r="K19" s="9">
        <v>298</v>
      </c>
      <c r="L19" s="10" t="s">
        <v>66</v>
      </c>
      <c r="M19" s="16" t="s">
        <v>67</v>
      </c>
    </row>
    <row r="20" spans="1:13" ht="13.8">
      <c r="A20" s="5" t="s">
        <v>68</v>
      </c>
      <c r="B20" s="6" t="s">
        <v>13</v>
      </c>
      <c r="C20" s="7">
        <f t="shared" si="0"/>
        <v>2.4900000000000002</v>
      </c>
      <c r="D20" s="14">
        <v>35.299999999999997</v>
      </c>
      <c r="E20" s="8">
        <v>55</v>
      </c>
      <c r="F20" s="8">
        <v>94</v>
      </c>
      <c r="G20" s="8">
        <v>2880</v>
      </c>
      <c r="H20" s="9">
        <v>1</v>
      </c>
      <c r="I20" s="9">
        <v>125</v>
      </c>
      <c r="J20" s="8">
        <v>7</v>
      </c>
      <c r="K20" s="9">
        <v>298</v>
      </c>
      <c r="L20" s="10" t="s">
        <v>69</v>
      </c>
      <c r="M20" s="16" t="s">
        <v>70</v>
      </c>
    </row>
    <row r="21" spans="1:13" ht="13.8">
      <c r="A21" s="13" t="s">
        <v>71</v>
      </c>
      <c r="B21" s="6" t="s">
        <v>13</v>
      </c>
      <c r="C21" s="7">
        <f t="shared" si="0"/>
        <v>2.4900000000000002</v>
      </c>
      <c r="D21" s="14">
        <v>35.299999999999997</v>
      </c>
      <c r="E21" s="8">
        <v>50</v>
      </c>
      <c r="F21" s="8">
        <v>92</v>
      </c>
      <c r="G21" s="8">
        <v>60</v>
      </c>
      <c r="H21" s="8">
        <v>20</v>
      </c>
      <c r="I21" s="9">
        <v>125</v>
      </c>
      <c r="J21" s="8">
        <v>2</v>
      </c>
      <c r="K21" s="9">
        <v>298</v>
      </c>
      <c r="L21" s="10" t="s">
        <v>72</v>
      </c>
      <c r="M21" s="26" t="s">
        <v>73</v>
      </c>
    </row>
    <row r="22" spans="1:13" ht="15.75" customHeight="1">
      <c r="A22" s="5" t="s">
        <v>74</v>
      </c>
      <c r="B22" s="6" t="s">
        <v>13</v>
      </c>
      <c r="C22" s="7">
        <f t="shared" si="0"/>
        <v>2.4900000000000002</v>
      </c>
      <c r="D22" s="14">
        <v>35.299999999999997</v>
      </c>
      <c r="E22" s="8">
        <v>77.5</v>
      </c>
      <c r="F22" s="8">
        <v>93</v>
      </c>
      <c r="G22" s="8">
        <v>60</v>
      </c>
      <c r="H22" s="8">
        <v>6.85</v>
      </c>
      <c r="I22" s="9">
        <v>125</v>
      </c>
      <c r="J22" s="8">
        <v>8.58</v>
      </c>
      <c r="K22" s="9">
        <v>298</v>
      </c>
      <c r="L22" s="10" t="s">
        <v>75</v>
      </c>
      <c r="M22" s="16" t="s">
        <v>76</v>
      </c>
    </row>
    <row r="23" spans="1:13" ht="13.8">
      <c r="A23" s="5" t="s">
        <v>77</v>
      </c>
      <c r="B23" s="6" t="s">
        <v>13</v>
      </c>
      <c r="C23" s="7">
        <f t="shared" si="0"/>
        <v>6.55</v>
      </c>
      <c r="D23" s="6">
        <v>93</v>
      </c>
      <c r="E23" s="8">
        <v>20</v>
      </c>
      <c r="F23" s="8">
        <v>89</v>
      </c>
      <c r="G23" s="8">
        <v>20</v>
      </c>
      <c r="H23" s="8">
        <v>80</v>
      </c>
      <c r="I23" s="9">
        <v>125</v>
      </c>
      <c r="J23" s="8">
        <v>5</v>
      </c>
      <c r="K23" s="9">
        <v>298</v>
      </c>
      <c r="L23" s="10" t="s">
        <v>78</v>
      </c>
      <c r="M23" s="16" t="s">
        <v>79</v>
      </c>
    </row>
    <row r="24" spans="1:13" ht="15.75" customHeight="1">
      <c r="A24" s="5" t="s">
        <v>80</v>
      </c>
      <c r="B24" s="6" t="s">
        <v>13</v>
      </c>
      <c r="C24" s="7">
        <f t="shared" si="0"/>
        <v>9.3699999999999992</v>
      </c>
      <c r="D24" s="6">
        <v>133</v>
      </c>
      <c r="E24" s="8">
        <v>75</v>
      </c>
      <c r="F24" s="8">
        <v>99.9</v>
      </c>
      <c r="G24" s="8">
        <v>300</v>
      </c>
      <c r="H24" s="8">
        <v>2</v>
      </c>
      <c r="I24" s="9">
        <v>125</v>
      </c>
      <c r="J24" s="8">
        <v>1.5</v>
      </c>
      <c r="K24" s="9">
        <v>298</v>
      </c>
      <c r="L24" s="10" t="s">
        <v>81</v>
      </c>
      <c r="M24" s="16" t="s">
        <v>82</v>
      </c>
    </row>
    <row r="25" spans="1:13" ht="13.8">
      <c r="A25" s="5" t="s">
        <v>83</v>
      </c>
      <c r="B25" s="6" t="s">
        <v>13</v>
      </c>
      <c r="C25" s="7">
        <f t="shared" si="0"/>
        <v>0.37</v>
      </c>
      <c r="D25" s="6">
        <v>5.28</v>
      </c>
      <c r="E25" s="28">
        <v>200</v>
      </c>
      <c r="F25" s="8">
        <v>90</v>
      </c>
      <c r="G25" s="8">
        <v>730</v>
      </c>
      <c r="H25" s="8">
        <v>20</v>
      </c>
      <c r="I25" s="9">
        <v>125</v>
      </c>
      <c r="J25" s="8">
        <v>2.1</v>
      </c>
      <c r="K25" s="9">
        <v>298</v>
      </c>
      <c r="L25" s="10" t="s">
        <v>84</v>
      </c>
      <c r="M25" s="16" t="s">
        <v>85</v>
      </c>
    </row>
    <row r="26" spans="1:13" ht="13.8">
      <c r="A26" s="5" t="s">
        <v>86</v>
      </c>
      <c r="B26" s="6" t="s">
        <v>13</v>
      </c>
      <c r="C26" s="7">
        <f t="shared" si="0"/>
        <v>2.73</v>
      </c>
      <c r="D26" s="6">
        <f>(76.3+1.24)/2</f>
        <v>38.769999999999996</v>
      </c>
      <c r="E26" s="8">
        <v>60</v>
      </c>
      <c r="F26" s="8">
        <v>94</v>
      </c>
      <c r="G26" s="8">
        <v>60</v>
      </c>
      <c r="H26" s="8">
        <v>50</v>
      </c>
      <c r="I26" s="9">
        <v>125</v>
      </c>
      <c r="J26" s="8">
        <v>2</v>
      </c>
      <c r="K26" s="9">
        <v>298</v>
      </c>
      <c r="L26" s="10" t="s">
        <v>66</v>
      </c>
      <c r="M26" s="16" t="s">
        <v>87</v>
      </c>
    </row>
    <row r="27" spans="1:13" ht="13.8">
      <c r="A27" s="5" t="s">
        <v>88</v>
      </c>
      <c r="B27" s="6" t="s">
        <v>13</v>
      </c>
      <c r="C27" s="28">
        <f>ROUND(27.7 * 6.022 * PI() * (0.44)^2 / 52, 2)</f>
        <v>1.95</v>
      </c>
      <c r="D27" s="29">
        <v>27.7</v>
      </c>
      <c r="E27" s="8">
        <v>250</v>
      </c>
      <c r="F27" s="8">
        <v>70</v>
      </c>
      <c r="G27" s="8">
        <v>7200</v>
      </c>
      <c r="H27" s="8">
        <v>1</v>
      </c>
      <c r="I27" s="9">
        <v>125</v>
      </c>
      <c r="J27" s="8">
        <v>3</v>
      </c>
      <c r="K27" s="9">
        <v>298</v>
      </c>
      <c r="L27" s="10" t="s">
        <v>89</v>
      </c>
      <c r="M27" s="16" t="s">
        <v>90</v>
      </c>
    </row>
    <row r="28" spans="1:13" ht="13.8">
      <c r="A28" s="5" t="s">
        <v>91</v>
      </c>
      <c r="B28" s="6" t="s">
        <v>13</v>
      </c>
      <c r="C28" s="24">
        <f>ROUND(4 * 6.022 * PI() * (0.44)^2 / 52, 2)</f>
        <v>0.28000000000000003</v>
      </c>
      <c r="D28" s="25">
        <v>4</v>
      </c>
      <c r="E28" s="8">
        <v>250</v>
      </c>
      <c r="F28" s="8">
        <v>82</v>
      </c>
      <c r="G28" s="8">
        <v>4320</v>
      </c>
      <c r="H28" s="8">
        <v>4</v>
      </c>
      <c r="I28" s="9">
        <v>125</v>
      </c>
      <c r="J28" s="8">
        <v>4</v>
      </c>
      <c r="K28" s="9">
        <v>298</v>
      </c>
      <c r="L28" s="10" t="s">
        <v>92</v>
      </c>
      <c r="M28" s="16" t="s">
        <v>93</v>
      </c>
    </row>
    <row r="29" spans="1:13" ht="13.8">
      <c r="A29" s="5" t="s">
        <v>94</v>
      </c>
      <c r="B29" s="6" t="s">
        <v>13</v>
      </c>
      <c r="C29" s="7">
        <f>ROUND(D29 * 6.022 * PI() * (0.44)^2 / 52, 2)</f>
        <v>0.66</v>
      </c>
      <c r="D29" s="29">
        <v>9.43</v>
      </c>
      <c r="E29" s="8">
        <v>10</v>
      </c>
      <c r="F29" s="8">
        <v>65</v>
      </c>
      <c r="G29" s="8">
        <v>260</v>
      </c>
      <c r="H29" s="8">
        <v>10</v>
      </c>
      <c r="I29" s="9">
        <v>125</v>
      </c>
      <c r="J29" s="8">
        <v>3</v>
      </c>
      <c r="K29" s="9">
        <v>298</v>
      </c>
      <c r="L29" s="10" t="s">
        <v>95</v>
      </c>
      <c r="M29" s="16" t="s">
        <v>96</v>
      </c>
    </row>
    <row r="30" spans="1:13" ht="13.8">
      <c r="A30" s="13" t="s">
        <v>97</v>
      </c>
      <c r="B30" s="6" t="s">
        <v>13</v>
      </c>
      <c r="C30" s="30"/>
      <c r="D30" s="6">
        <v>5.37</v>
      </c>
      <c r="E30" s="8">
        <v>10</v>
      </c>
      <c r="F30" s="8">
        <v>71</v>
      </c>
      <c r="G30" s="8">
        <v>60</v>
      </c>
      <c r="H30" s="8">
        <v>5</v>
      </c>
      <c r="I30" s="9"/>
      <c r="J30" s="8">
        <v>1</v>
      </c>
      <c r="K30" s="9">
        <v>298</v>
      </c>
      <c r="L30" s="10" t="s">
        <v>98</v>
      </c>
      <c r="M30" s="16" t="s">
        <v>99</v>
      </c>
    </row>
    <row r="31" spans="1:13" ht="15">
      <c r="A31" s="5" t="s">
        <v>100</v>
      </c>
      <c r="B31" s="6" t="s">
        <v>13</v>
      </c>
      <c r="C31" s="7">
        <f t="shared" ref="C31:C33" si="1">ROUND(D31 * 6.022 * PI() * (0.44)^2 / 52, 2)</f>
        <v>0.12</v>
      </c>
      <c r="D31" s="6">
        <v>1.7</v>
      </c>
      <c r="E31" s="8">
        <v>50</v>
      </c>
      <c r="F31" s="8">
        <v>84</v>
      </c>
      <c r="G31" s="8">
        <v>360</v>
      </c>
      <c r="H31" s="8">
        <v>60</v>
      </c>
      <c r="I31" s="9">
        <v>125</v>
      </c>
      <c r="J31" s="8">
        <v>3</v>
      </c>
      <c r="K31" s="9">
        <v>298</v>
      </c>
      <c r="L31" s="10" t="s">
        <v>101</v>
      </c>
      <c r="M31" s="31" t="s">
        <v>102</v>
      </c>
    </row>
    <row r="32" spans="1:13" ht="15">
      <c r="A32" s="5" t="s">
        <v>103</v>
      </c>
      <c r="B32" s="6" t="s">
        <v>13</v>
      </c>
      <c r="C32" s="7">
        <f t="shared" si="1"/>
        <v>1.43</v>
      </c>
      <c r="D32" s="6">
        <v>20.3</v>
      </c>
      <c r="E32" s="8">
        <v>45</v>
      </c>
      <c r="F32" s="9">
        <v>90.65</v>
      </c>
      <c r="G32" s="8">
        <v>240</v>
      </c>
      <c r="H32" s="8">
        <v>4</v>
      </c>
      <c r="I32" s="9">
        <v>125</v>
      </c>
      <c r="J32" s="8">
        <v>2</v>
      </c>
      <c r="K32" s="9">
        <v>298</v>
      </c>
      <c r="L32" s="10" t="s">
        <v>104</v>
      </c>
      <c r="M32" s="32" t="s">
        <v>105</v>
      </c>
    </row>
    <row r="33" spans="1:15" ht="15">
      <c r="A33" s="5" t="s">
        <v>106</v>
      </c>
      <c r="B33" s="6" t="s">
        <v>13</v>
      </c>
      <c r="C33" s="7">
        <f t="shared" si="1"/>
        <v>11.27</v>
      </c>
      <c r="D33" s="6">
        <v>160</v>
      </c>
      <c r="E33" s="8">
        <v>100</v>
      </c>
      <c r="F33" s="8">
        <v>90</v>
      </c>
      <c r="G33" s="8">
        <v>725</v>
      </c>
      <c r="H33" s="8">
        <v>25</v>
      </c>
      <c r="I33" s="9">
        <v>125</v>
      </c>
      <c r="J33" s="8">
        <v>3</v>
      </c>
      <c r="K33" s="9">
        <v>298</v>
      </c>
      <c r="L33" s="10" t="s">
        <v>107</v>
      </c>
      <c r="M33" s="33" t="s">
        <v>108</v>
      </c>
    </row>
    <row r="34" spans="1:15" ht="15">
      <c r="A34" s="5" t="s">
        <v>109</v>
      </c>
      <c r="B34" s="6" t="s">
        <v>110</v>
      </c>
      <c r="C34" s="7">
        <f t="shared" ref="C34:C35" si="2">ROUND(D34 * 6.022 * 2.95 / 112.41, 2)</f>
        <v>0.16</v>
      </c>
      <c r="D34" s="34">
        <v>1</v>
      </c>
      <c r="E34" s="8">
        <v>25</v>
      </c>
      <c r="F34" s="8">
        <v>80</v>
      </c>
      <c r="G34" s="8">
        <v>2160</v>
      </c>
      <c r="H34" s="8">
        <v>20</v>
      </c>
      <c r="I34" s="9">
        <v>125</v>
      </c>
      <c r="J34" s="8">
        <v>5.3</v>
      </c>
      <c r="K34" s="9">
        <v>298</v>
      </c>
      <c r="L34" s="10" t="s">
        <v>111</v>
      </c>
      <c r="M34" s="33" t="s">
        <v>112</v>
      </c>
    </row>
    <row r="35" spans="1:15" ht="15">
      <c r="A35" s="5" t="s">
        <v>113</v>
      </c>
      <c r="B35" s="6" t="s">
        <v>110</v>
      </c>
      <c r="C35" s="7">
        <f t="shared" si="2"/>
        <v>2.88</v>
      </c>
      <c r="D35" s="6">
        <v>18.25</v>
      </c>
      <c r="E35" s="8">
        <v>50</v>
      </c>
      <c r="F35" s="8">
        <v>90</v>
      </c>
      <c r="G35" s="8">
        <v>120</v>
      </c>
      <c r="H35" s="8">
        <v>5</v>
      </c>
      <c r="I35" s="9">
        <v>125</v>
      </c>
      <c r="J35" s="8">
        <v>5</v>
      </c>
      <c r="K35" s="9">
        <v>298</v>
      </c>
      <c r="L35" s="10" t="s">
        <v>114</v>
      </c>
      <c r="M35" s="33" t="s">
        <v>115</v>
      </c>
    </row>
    <row r="36" spans="1:15" ht="13.8">
      <c r="A36" s="13" t="s">
        <v>116</v>
      </c>
      <c r="B36" s="6" t="s">
        <v>110</v>
      </c>
      <c r="C36" s="30"/>
      <c r="D36" s="14">
        <v>36.4</v>
      </c>
      <c r="E36" s="8">
        <v>103</v>
      </c>
      <c r="F36" s="8">
        <v>98.8</v>
      </c>
      <c r="G36" s="8">
        <v>1440</v>
      </c>
      <c r="H36" s="8">
        <v>4</v>
      </c>
      <c r="I36" s="9">
        <v>125</v>
      </c>
      <c r="J36" s="8">
        <v>5.6</v>
      </c>
      <c r="K36" s="9">
        <v>298</v>
      </c>
      <c r="L36" s="10" t="s">
        <v>117</v>
      </c>
      <c r="M36" s="15" t="s">
        <v>118</v>
      </c>
    </row>
    <row r="37" spans="1:15" ht="15">
      <c r="A37" s="5" t="s">
        <v>119</v>
      </c>
      <c r="B37" s="6" t="s">
        <v>110</v>
      </c>
      <c r="C37" s="7">
        <f t="shared" ref="C37:C39" si="3">ROUND(D37 * 6.022 * 2.95 / 112.41, 2)</f>
        <v>5.58</v>
      </c>
      <c r="D37" s="14">
        <v>35.299999999999997</v>
      </c>
      <c r="E37" s="28">
        <v>5.62</v>
      </c>
      <c r="F37" s="8">
        <v>70</v>
      </c>
      <c r="G37" s="8">
        <v>2880</v>
      </c>
      <c r="H37" s="9">
        <v>1</v>
      </c>
      <c r="I37" s="9">
        <v>125</v>
      </c>
      <c r="J37" s="8">
        <v>6.25</v>
      </c>
      <c r="K37" s="9">
        <v>298</v>
      </c>
      <c r="L37" s="10" t="s">
        <v>120</v>
      </c>
      <c r="M37" s="33" t="s">
        <v>121</v>
      </c>
    </row>
    <row r="38" spans="1:15" ht="15">
      <c r="A38" s="5" t="s">
        <v>122</v>
      </c>
      <c r="B38" s="6" t="s">
        <v>110</v>
      </c>
      <c r="C38" s="7">
        <f t="shared" si="3"/>
        <v>31.8</v>
      </c>
      <c r="D38" s="6">
        <v>201.2</v>
      </c>
      <c r="E38" s="8">
        <v>300</v>
      </c>
      <c r="F38" s="8">
        <v>93</v>
      </c>
      <c r="G38" s="8">
        <v>90</v>
      </c>
      <c r="H38" s="8">
        <v>0.04</v>
      </c>
      <c r="I38" s="9">
        <v>125</v>
      </c>
      <c r="J38" s="8">
        <v>6</v>
      </c>
      <c r="K38" s="9">
        <v>298</v>
      </c>
      <c r="L38" s="10" t="s">
        <v>123</v>
      </c>
      <c r="M38" s="33" t="s">
        <v>124</v>
      </c>
    </row>
    <row r="39" spans="1:15" ht="15">
      <c r="A39" s="5" t="s">
        <v>125</v>
      </c>
      <c r="B39" s="6" t="s">
        <v>110</v>
      </c>
      <c r="C39" s="7">
        <f t="shared" si="3"/>
        <v>16.91</v>
      </c>
      <c r="D39" s="6">
        <f>(92+122)/2</f>
        <v>107</v>
      </c>
      <c r="E39" s="28">
        <v>100</v>
      </c>
      <c r="F39" s="8">
        <v>92</v>
      </c>
      <c r="G39" s="8">
        <v>90</v>
      </c>
      <c r="H39" s="8">
        <v>5</v>
      </c>
      <c r="I39" s="9">
        <v>125</v>
      </c>
      <c r="J39" s="8">
        <v>5.6</v>
      </c>
      <c r="K39" s="9">
        <v>298</v>
      </c>
      <c r="L39" s="10" t="s">
        <v>126</v>
      </c>
      <c r="M39" s="33" t="s">
        <v>127</v>
      </c>
    </row>
    <row r="40" spans="1:15" ht="15">
      <c r="A40" s="5" t="s">
        <v>128</v>
      </c>
      <c r="B40" s="6" t="s">
        <v>110</v>
      </c>
      <c r="C40" s="7">
        <f>ROUND(122 * 6.022 * 2.95 / 112.41, 2)</f>
        <v>19.28</v>
      </c>
      <c r="D40" s="29">
        <v>122</v>
      </c>
      <c r="E40" s="8">
        <v>130</v>
      </c>
      <c r="F40" s="8">
        <v>99.6</v>
      </c>
      <c r="G40" s="8">
        <v>120</v>
      </c>
      <c r="H40" s="8">
        <v>4.5</v>
      </c>
      <c r="I40" s="9">
        <v>125</v>
      </c>
      <c r="J40" s="8">
        <v>6</v>
      </c>
      <c r="K40" s="9">
        <v>298</v>
      </c>
      <c r="L40" s="10" t="s">
        <v>129</v>
      </c>
      <c r="M40" s="33" t="s">
        <v>130</v>
      </c>
    </row>
    <row r="41" spans="1:15" ht="15">
      <c r="A41" s="13" t="s">
        <v>131</v>
      </c>
      <c r="B41" s="6" t="s">
        <v>110</v>
      </c>
      <c r="C41" s="7">
        <f t="shared" ref="C41:C43" si="4">ROUND(D41 * 6.022 * 2.95 / 112.41, 2)</f>
        <v>5.58</v>
      </c>
      <c r="D41" s="14">
        <v>35.299999999999997</v>
      </c>
      <c r="E41" s="8">
        <v>675</v>
      </c>
      <c r="F41" s="8">
        <v>95</v>
      </c>
      <c r="G41" s="8">
        <v>1440</v>
      </c>
      <c r="H41" s="9">
        <v>1</v>
      </c>
      <c r="I41" s="9">
        <v>125</v>
      </c>
      <c r="J41" s="8">
        <v>10</v>
      </c>
      <c r="K41" s="9">
        <v>298</v>
      </c>
      <c r="L41" s="10" t="s">
        <v>132</v>
      </c>
      <c r="M41" s="33" t="s">
        <v>133</v>
      </c>
    </row>
    <row r="42" spans="1:15" ht="15">
      <c r="A42" s="5" t="s">
        <v>134</v>
      </c>
      <c r="B42" s="6" t="s">
        <v>110</v>
      </c>
      <c r="C42" s="7">
        <f t="shared" si="4"/>
        <v>5.58</v>
      </c>
      <c r="D42" s="14">
        <v>35.299999999999997</v>
      </c>
      <c r="E42" s="9">
        <v>50</v>
      </c>
      <c r="F42" s="8">
        <v>94</v>
      </c>
      <c r="G42" s="9">
        <v>120</v>
      </c>
      <c r="H42" s="9">
        <v>1</v>
      </c>
      <c r="I42" s="9">
        <v>125</v>
      </c>
      <c r="J42" s="8">
        <v>6.5</v>
      </c>
      <c r="K42" s="9">
        <v>298</v>
      </c>
      <c r="L42" s="10" t="s">
        <v>135</v>
      </c>
      <c r="M42" s="33" t="s">
        <v>136</v>
      </c>
    </row>
    <row r="43" spans="1:15" ht="15">
      <c r="A43" s="13" t="s">
        <v>137</v>
      </c>
      <c r="B43" s="6" t="s">
        <v>110</v>
      </c>
      <c r="C43" s="7">
        <f t="shared" si="4"/>
        <v>71.63</v>
      </c>
      <c r="D43" s="35">
        <v>453.25</v>
      </c>
      <c r="E43" s="28">
        <v>500</v>
      </c>
      <c r="F43" s="9">
        <v>90.65</v>
      </c>
      <c r="G43" s="8">
        <v>180</v>
      </c>
      <c r="H43" s="8">
        <v>1</v>
      </c>
      <c r="I43" s="9">
        <v>125</v>
      </c>
      <c r="J43" s="9">
        <v>5</v>
      </c>
      <c r="K43" s="9">
        <v>298</v>
      </c>
      <c r="L43" s="10" t="s">
        <v>138</v>
      </c>
      <c r="M43" s="33" t="s">
        <v>139</v>
      </c>
      <c r="N43" s="12"/>
    </row>
    <row r="44" spans="1:15" ht="15">
      <c r="A44" s="13" t="s">
        <v>140</v>
      </c>
      <c r="B44" s="6" t="s">
        <v>110</v>
      </c>
      <c r="C44" s="7">
        <v>655</v>
      </c>
      <c r="D44" s="36"/>
      <c r="E44" s="8">
        <v>25</v>
      </c>
      <c r="F44" s="8">
        <v>60</v>
      </c>
      <c r="G44" s="8">
        <v>90</v>
      </c>
      <c r="H44" s="8">
        <v>25</v>
      </c>
      <c r="I44" s="9">
        <v>125</v>
      </c>
      <c r="J44" s="8">
        <v>6</v>
      </c>
      <c r="K44" s="9">
        <v>298</v>
      </c>
      <c r="L44" s="10" t="s">
        <v>141</v>
      </c>
      <c r="M44" s="33" t="s">
        <v>142</v>
      </c>
      <c r="O44" s="12"/>
    </row>
    <row r="45" spans="1:15" ht="15">
      <c r="A45" s="5" t="s">
        <v>143</v>
      </c>
      <c r="B45" s="6" t="s">
        <v>110</v>
      </c>
      <c r="C45" s="7">
        <f t="shared" ref="C45:C46" si="5">ROUND(D45 * 6.022 * 2.95 / 112.41, 2)</f>
        <v>19.91</v>
      </c>
      <c r="D45" s="6">
        <f>(57+195)/2</f>
        <v>126</v>
      </c>
      <c r="E45" s="8">
        <v>2248.1999999999998</v>
      </c>
      <c r="F45" s="8">
        <v>95.6</v>
      </c>
      <c r="G45" s="8">
        <v>1440</v>
      </c>
      <c r="H45" s="8">
        <v>10</v>
      </c>
      <c r="I45" s="9">
        <v>125</v>
      </c>
      <c r="J45" s="8">
        <v>6.6</v>
      </c>
      <c r="K45" s="9">
        <v>298</v>
      </c>
      <c r="L45" s="10" t="s">
        <v>144</v>
      </c>
      <c r="M45" s="33" t="s">
        <v>145</v>
      </c>
    </row>
    <row r="46" spans="1:15" ht="15">
      <c r="A46" s="5" t="s">
        <v>146</v>
      </c>
      <c r="B46" s="6" t="s">
        <v>110</v>
      </c>
      <c r="C46" s="7">
        <f t="shared" si="5"/>
        <v>15.11</v>
      </c>
      <c r="D46" s="6">
        <v>95.6</v>
      </c>
      <c r="E46" s="8">
        <v>100</v>
      </c>
      <c r="F46" s="9">
        <v>90.65</v>
      </c>
      <c r="G46" s="8">
        <v>750</v>
      </c>
      <c r="H46" s="9">
        <v>1</v>
      </c>
      <c r="I46" s="9">
        <v>125</v>
      </c>
      <c r="J46" s="8">
        <v>7</v>
      </c>
      <c r="K46" s="9">
        <v>298</v>
      </c>
      <c r="L46" s="10" t="s">
        <v>147</v>
      </c>
      <c r="M46" s="33" t="s">
        <v>148</v>
      </c>
    </row>
    <row r="47" spans="1:15" ht="15">
      <c r="A47" s="13" t="s">
        <v>149</v>
      </c>
      <c r="B47" s="6" t="s">
        <v>110</v>
      </c>
      <c r="C47" s="7">
        <v>32</v>
      </c>
      <c r="D47" s="6">
        <v>9</v>
      </c>
      <c r="E47" s="8">
        <v>50</v>
      </c>
      <c r="F47" s="8">
        <v>71</v>
      </c>
      <c r="G47" s="8">
        <v>1440</v>
      </c>
      <c r="H47" s="9">
        <v>10</v>
      </c>
      <c r="I47" s="9">
        <v>125</v>
      </c>
      <c r="J47" s="8">
        <v>5</v>
      </c>
      <c r="K47" s="9">
        <v>298</v>
      </c>
      <c r="L47" s="10" t="s">
        <v>150</v>
      </c>
      <c r="M47" s="33" t="s">
        <v>151</v>
      </c>
    </row>
    <row r="48" spans="1:15" ht="15">
      <c r="A48" s="5" t="s">
        <v>152</v>
      </c>
      <c r="B48" s="6" t="s">
        <v>110</v>
      </c>
      <c r="C48" s="7">
        <f t="shared" ref="C48:C49" si="6">ROUND(D48 * 6.022 * 2.95 / 112.41, 2)</f>
        <v>2.8</v>
      </c>
      <c r="D48" s="6">
        <f>(17.5+17.9)/2</f>
        <v>17.7</v>
      </c>
      <c r="E48" s="8">
        <v>130</v>
      </c>
      <c r="F48" s="8">
        <v>90</v>
      </c>
      <c r="G48" s="8">
        <v>30</v>
      </c>
      <c r="H48" s="8">
        <v>10</v>
      </c>
      <c r="I48" s="9">
        <v>125</v>
      </c>
      <c r="J48" s="8">
        <v>2</v>
      </c>
      <c r="K48" s="9">
        <v>298</v>
      </c>
      <c r="L48" s="10" t="s">
        <v>153</v>
      </c>
      <c r="M48" s="31" t="s">
        <v>154</v>
      </c>
    </row>
    <row r="49" spans="1:13" ht="15">
      <c r="A49" s="5" t="s">
        <v>155</v>
      </c>
      <c r="B49" s="6" t="s">
        <v>110</v>
      </c>
      <c r="C49" s="7">
        <f t="shared" si="6"/>
        <v>1.0900000000000001</v>
      </c>
      <c r="D49" s="6">
        <v>6.9</v>
      </c>
      <c r="E49" s="8">
        <v>75</v>
      </c>
      <c r="F49" s="8">
        <v>75</v>
      </c>
      <c r="G49" s="8">
        <v>4320</v>
      </c>
      <c r="H49" s="8">
        <v>6.7</v>
      </c>
      <c r="I49" s="9">
        <v>125</v>
      </c>
      <c r="J49" s="8">
        <v>4</v>
      </c>
      <c r="K49" s="9">
        <v>298</v>
      </c>
      <c r="L49" s="10" t="s">
        <v>156</v>
      </c>
      <c r="M49" s="33" t="s">
        <v>157</v>
      </c>
    </row>
    <row r="50" spans="1:13" ht="15">
      <c r="A50" s="5" t="s">
        <v>158</v>
      </c>
      <c r="B50" s="6" t="s">
        <v>110</v>
      </c>
      <c r="C50" s="28">
        <f>ROUND(672.3 * 6.022 * 2.95 / 112.41, 2)</f>
        <v>106.25</v>
      </c>
      <c r="D50" s="6">
        <v>672.3</v>
      </c>
      <c r="E50" s="8">
        <v>505.85</v>
      </c>
      <c r="F50" s="8">
        <v>90</v>
      </c>
      <c r="G50" s="8">
        <v>1440</v>
      </c>
      <c r="H50" s="8">
        <v>10</v>
      </c>
      <c r="I50" s="9">
        <v>125</v>
      </c>
      <c r="J50" s="8">
        <v>8</v>
      </c>
      <c r="K50" s="37">
        <v>303</v>
      </c>
      <c r="L50" s="10" t="s">
        <v>159</v>
      </c>
      <c r="M50" s="33" t="s">
        <v>160</v>
      </c>
    </row>
    <row r="51" spans="1:13" ht="15">
      <c r="A51" s="5" t="s">
        <v>161</v>
      </c>
      <c r="B51" s="6" t="s">
        <v>110</v>
      </c>
      <c r="C51" s="7">
        <f>ROUND(D51 * 6.022 * 2.95 / 112.41, 2)</f>
        <v>2.4700000000000002</v>
      </c>
      <c r="D51" s="6">
        <v>15.65</v>
      </c>
      <c r="E51" s="8">
        <v>350</v>
      </c>
      <c r="F51" s="8">
        <v>87</v>
      </c>
      <c r="G51" s="8">
        <v>120</v>
      </c>
      <c r="H51" s="8">
        <v>9</v>
      </c>
      <c r="I51" s="9">
        <v>125</v>
      </c>
      <c r="J51" s="8">
        <v>7</v>
      </c>
      <c r="K51" s="9">
        <v>298</v>
      </c>
      <c r="L51" s="10" t="s">
        <v>162</v>
      </c>
      <c r="M51" s="33" t="s">
        <v>163</v>
      </c>
    </row>
    <row r="52" spans="1:13" ht="15">
      <c r="A52" s="5" t="s">
        <v>164</v>
      </c>
      <c r="B52" s="6" t="s">
        <v>110</v>
      </c>
      <c r="C52" s="24">
        <f>ROUND(12.5 * 6.022 * 2.95 / 112.41, 2)</f>
        <v>1.98</v>
      </c>
      <c r="D52" s="6">
        <v>12.5</v>
      </c>
      <c r="E52" s="24">
        <v>50</v>
      </c>
      <c r="F52" s="8">
        <v>29.8</v>
      </c>
      <c r="G52" s="8">
        <v>5</v>
      </c>
      <c r="H52" s="8">
        <v>5.5</v>
      </c>
      <c r="I52" s="9">
        <v>125</v>
      </c>
      <c r="J52" s="8">
        <v>6</v>
      </c>
      <c r="K52" s="9">
        <v>298</v>
      </c>
      <c r="L52" s="10" t="s">
        <v>165</v>
      </c>
      <c r="M52" s="33" t="s">
        <v>166</v>
      </c>
    </row>
    <row r="53" spans="1:13" ht="15">
      <c r="A53" s="5" t="s">
        <v>167</v>
      </c>
      <c r="B53" s="6" t="s">
        <v>110</v>
      </c>
      <c r="C53" s="7">
        <f t="shared" ref="C53:C54" si="7">ROUND(D53 * 6.022 * 2.95 / 112.41, 2)</f>
        <v>6.31</v>
      </c>
      <c r="D53" s="6">
        <f>(41.15+38.76)/2</f>
        <v>39.954999999999998</v>
      </c>
      <c r="E53" s="38">
        <v>100</v>
      </c>
      <c r="F53" s="9">
        <v>90.65</v>
      </c>
      <c r="G53" s="8">
        <v>60</v>
      </c>
      <c r="H53" s="8">
        <v>1</v>
      </c>
      <c r="I53" s="38">
        <v>100</v>
      </c>
      <c r="J53" s="38">
        <v>7</v>
      </c>
      <c r="K53" s="9">
        <v>298</v>
      </c>
      <c r="L53" s="10" t="s">
        <v>168</v>
      </c>
      <c r="M53" s="33" t="s">
        <v>169</v>
      </c>
    </row>
    <row r="54" spans="1:13" ht="15">
      <c r="A54" s="39" t="s">
        <v>170</v>
      </c>
      <c r="B54" s="40" t="s">
        <v>110</v>
      </c>
      <c r="C54" s="41">
        <f t="shared" si="7"/>
        <v>10.34</v>
      </c>
      <c r="D54" s="40">
        <v>65.400000000000006</v>
      </c>
      <c r="E54" s="38">
        <v>100</v>
      </c>
      <c r="F54" s="38">
        <v>66</v>
      </c>
      <c r="G54" s="38">
        <v>1440</v>
      </c>
      <c r="H54" s="38">
        <v>0.3</v>
      </c>
      <c r="I54" s="38">
        <v>100</v>
      </c>
      <c r="J54" s="38">
        <v>6</v>
      </c>
      <c r="K54" s="38">
        <v>301</v>
      </c>
      <c r="L54" s="42" t="s">
        <v>171</v>
      </c>
      <c r="M54" s="43" t="s">
        <v>172</v>
      </c>
    </row>
    <row r="55" spans="1:13" ht="15">
      <c r="A55" s="39" t="s">
        <v>173</v>
      </c>
      <c r="B55" s="40" t="s">
        <v>110</v>
      </c>
      <c r="C55" s="24">
        <f>ROUND(0.68 * 6.022 * 2.95 / 112.41, 2)</f>
        <v>0.11</v>
      </c>
      <c r="D55" s="44">
        <v>0.68</v>
      </c>
      <c r="E55" s="38">
        <v>45</v>
      </c>
      <c r="F55" s="38">
        <v>95</v>
      </c>
      <c r="G55" s="38">
        <v>90</v>
      </c>
      <c r="H55" s="38">
        <v>30</v>
      </c>
      <c r="I55" s="38">
        <v>125</v>
      </c>
      <c r="J55" s="38">
        <v>6.15</v>
      </c>
      <c r="K55" s="38">
        <v>303</v>
      </c>
      <c r="L55" s="42" t="s">
        <v>174</v>
      </c>
      <c r="M55" s="43" t="s">
        <v>175</v>
      </c>
    </row>
    <row r="56" spans="1:13" ht="15">
      <c r="A56" s="39" t="s">
        <v>176</v>
      </c>
      <c r="B56" s="40" t="s">
        <v>110</v>
      </c>
      <c r="C56" s="41">
        <f t="shared" ref="C56:C57" si="8">ROUND(D56 * 6.022 * 2.95 / 112.41, 2)</f>
        <v>1.85</v>
      </c>
      <c r="D56" s="40">
        <v>11.72</v>
      </c>
      <c r="E56" s="38">
        <v>20</v>
      </c>
      <c r="F56" s="38">
        <v>95.32</v>
      </c>
      <c r="G56" s="38">
        <v>7</v>
      </c>
      <c r="H56" s="38">
        <v>1.1000000000000001</v>
      </c>
      <c r="I56" s="38">
        <v>200</v>
      </c>
      <c r="J56" s="38">
        <v>5</v>
      </c>
      <c r="K56" s="38">
        <v>301</v>
      </c>
      <c r="L56" s="42" t="s">
        <v>177</v>
      </c>
      <c r="M56" s="43" t="s">
        <v>178</v>
      </c>
    </row>
    <row r="57" spans="1:13" ht="15">
      <c r="A57" s="5" t="s">
        <v>179</v>
      </c>
      <c r="B57" s="6" t="s">
        <v>110</v>
      </c>
      <c r="C57" s="24">
        <f t="shared" si="8"/>
        <v>9.02</v>
      </c>
      <c r="D57" s="25">
        <v>57.097999999999999</v>
      </c>
      <c r="E57" s="45">
        <v>2000</v>
      </c>
      <c r="F57" s="8">
        <v>23</v>
      </c>
      <c r="G57" s="8">
        <v>200</v>
      </c>
      <c r="H57" s="8">
        <v>6</v>
      </c>
      <c r="I57" s="38">
        <v>400</v>
      </c>
      <c r="J57" s="8">
        <v>5</v>
      </c>
      <c r="K57" s="38">
        <v>303</v>
      </c>
      <c r="L57" s="42" t="s">
        <v>180</v>
      </c>
      <c r="M57" s="43" t="s">
        <v>181</v>
      </c>
    </row>
    <row r="58" spans="1:13" ht="15">
      <c r="A58" s="5" t="s">
        <v>182</v>
      </c>
      <c r="B58" s="6" t="s">
        <v>110</v>
      </c>
      <c r="C58" s="24">
        <f>ROUND(8.97 * 6.022 * 2.95 / 112.41, 2)</f>
        <v>1.42</v>
      </c>
      <c r="D58" s="44">
        <v>8.9700000000000006</v>
      </c>
      <c r="E58" s="8">
        <v>3372.3</v>
      </c>
      <c r="F58" s="8">
        <v>49.2</v>
      </c>
      <c r="G58" s="8">
        <v>60</v>
      </c>
      <c r="H58" s="8">
        <v>13.33</v>
      </c>
      <c r="I58" s="38">
        <v>30</v>
      </c>
      <c r="J58" s="8">
        <v>5.8</v>
      </c>
      <c r="K58" s="38">
        <v>298</v>
      </c>
      <c r="L58" s="42" t="s">
        <v>183</v>
      </c>
      <c r="M58" s="43" t="s">
        <v>184</v>
      </c>
    </row>
    <row r="59" spans="1:13" ht="15">
      <c r="A59" s="5" t="s">
        <v>185</v>
      </c>
      <c r="B59" s="6" t="s">
        <v>110</v>
      </c>
      <c r="C59" s="7">
        <f>ROUND(D59 * 6.022 * 2.95 / 112.41, 2)</f>
        <v>7.6</v>
      </c>
      <c r="D59" s="6">
        <f>(4.45+91.74)/2</f>
        <v>48.094999999999999</v>
      </c>
      <c r="E59" s="8">
        <v>45</v>
      </c>
      <c r="F59" s="8">
        <v>80</v>
      </c>
      <c r="G59" s="8">
        <v>95</v>
      </c>
      <c r="H59" s="8">
        <v>20.399999999999999</v>
      </c>
      <c r="I59" s="38">
        <v>140</v>
      </c>
      <c r="J59" s="8">
        <v>4</v>
      </c>
      <c r="K59" s="38">
        <v>353</v>
      </c>
      <c r="L59" s="42" t="s">
        <v>186</v>
      </c>
      <c r="M59" s="43" t="s">
        <v>187</v>
      </c>
    </row>
    <row r="60" spans="1:13" ht="15">
      <c r="A60" s="5" t="s">
        <v>188</v>
      </c>
      <c r="B60" s="6" t="s">
        <v>110</v>
      </c>
      <c r="C60" s="24">
        <f>ROUND(112.51 * 6.022 * 2.95 / 112.41, 2)</f>
        <v>17.78</v>
      </c>
      <c r="D60" s="25">
        <v>112.51</v>
      </c>
      <c r="E60" s="8">
        <v>65</v>
      </c>
      <c r="F60" s="8">
        <v>99.7</v>
      </c>
      <c r="G60" s="8">
        <v>30</v>
      </c>
      <c r="H60" s="8">
        <v>4.0999999999999996</v>
      </c>
      <c r="I60" s="38">
        <v>125</v>
      </c>
      <c r="J60" s="8">
        <v>4</v>
      </c>
      <c r="K60" s="38">
        <v>298</v>
      </c>
      <c r="L60" s="42" t="s">
        <v>189</v>
      </c>
      <c r="M60" s="43" t="s">
        <v>190</v>
      </c>
    </row>
    <row r="61" spans="1:13" ht="15">
      <c r="A61" s="5" t="s">
        <v>191</v>
      </c>
      <c r="B61" s="6" t="s">
        <v>110</v>
      </c>
      <c r="C61" s="7">
        <f>ROUND(D61 * 6.022 * 2.95 / 112.41, 2)</f>
        <v>14.76</v>
      </c>
      <c r="D61" s="6">
        <v>93.4</v>
      </c>
      <c r="E61" s="8">
        <v>25</v>
      </c>
      <c r="F61" s="8">
        <v>98</v>
      </c>
      <c r="G61" s="8">
        <v>120</v>
      </c>
      <c r="H61" s="8">
        <v>0.3921</v>
      </c>
      <c r="I61" s="38">
        <v>125</v>
      </c>
      <c r="J61" s="8">
        <v>5</v>
      </c>
      <c r="K61" s="38">
        <v>303</v>
      </c>
      <c r="L61" s="42" t="s">
        <v>192</v>
      </c>
      <c r="M61" s="43" t="s">
        <v>193</v>
      </c>
    </row>
    <row r="62" spans="1:13" ht="15">
      <c r="A62" s="5" t="s">
        <v>194</v>
      </c>
      <c r="B62" s="6" t="s">
        <v>110</v>
      </c>
      <c r="C62" s="24">
        <f>ROUND(9.78 * 6.022 * 2.95 / 112.41, 2)</f>
        <v>1.55</v>
      </c>
      <c r="D62" s="25">
        <v>9.7799999999999994</v>
      </c>
      <c r="E62" s="24">
        <v>20</v>
      </c>
      <c r="F62" s="8">
        <v>98</v>
      </c>
      <c r="G62" s="8">
        <v>120</v>
      </c>
      <c r="H62" s="8">
        <v>5</v>
      </c>
      <c r="I62" s="38">
        <v>175</v>
      </c>
      <c r="J62" s="8">
        <v>7</v>
      </c>
      <c r="K62" s="38">
        <v>300</v>
      </c>
      <c r="L62" s="42" t="s">
        <v>195</v>
      </c>
      <c r="M62" s="43" t="s">
        <v>196</v>
      </c>
    </row>
    <row r="63" spans="1:13" ht="15">
      <c r="A63" s="5" t="s">
        <v>194</v>
      </c>
      <c r="B63" s="6" t="s">
        <v>110</v>
      </c>
      <c r="C63" s="7">
        <f>ROUND(D63 * 6.022 * 2.95 / 112.41, 2)</f>
        <v>3.9</v>
      </c>
      <c r="D63" s="6">
        <f>(37.38+11.96)/2</f>
        <v>24.67</v>
      </c>
      <c r="E63" s="8">
        <v>100</v>
      </c>
      <c r="F63" s="38">
        <v>90.65</v>
      </c>
      <c r="G63" s="8">
        <v>5.66</v>
      </c>
      <c r="H63" s="8">
        <v>1.62</v>
      </c>
      <c r="I63" s="38">
        <v>125</v>
      </c>
      <c r="J63" s="8">
        <v>5</v>
      </c>
      <c r="K63" s="38">
        <v>298</v>
      </c>
      <c r="L63" s="42" t="s">
        <v>197</v>
      </c>
      <c r="M63" s="43" t="s">
        <v>198</v>
      </c>
    </row>
    <row r="64" spans="1:13" ht="15">
      <c r="A64" s="46" t="s">
        <v>199</v>
      </c>
      <c r="B64" s="6" t="s">
        <v>200</v>
      </c>
      <c r="C64" s="7">
        <f t="shared" ref="C64:C67" si="9">ROUND(D64 * 6.022 * PI() * (0.71)^2 / 63.55, 2)</f>
        <v>2.0099999999999998</v>
      </c>
      <c r="D64" s="25">
        <v>13.4</v>
      </c>
      <c r="E64" s="24">
        <v>10</v>
      </c>
      <c r="F64" s="38">
        <v>93.3</v>
      </c>
      <c r="G64" s="38">
        <v>120</v>
      </c>
      <c r="H64" s="38">
        <v>1</v>
      </c>
      <c r="I64" s="38">
        <v>200</v>
      </c>
      <c r="J64" s="8">
        <v>6</v>
      </c>
      <c r="K64" s="38">
        <v>298</v>
      </c>
      <c r="L64" s="42" t="s">
        <v>201</v>
      </c>
      <c r="M64" s="43" t="s">
        <v>202</v>
      </c>
    </row>
    <row r="65" spans="1:13" ht="15">
      <c r="A65" s="5" t="s">
        <v>203</v>
      </c>
      <c r="B65" s="6" t="s">
        <v>200</v>
      </c>
      <c r="C65" s="7">
        <f t="shared" si="9"/>
        <v>2.91</v>
      </c>
      <c r="D65" s="6">
        <v>19.399999999999999</v>
      </c>
      <c r="E65" s="8">
        <v>110</v>
      </c>
      <c r="F65" s="38">
        <v>19.399999999999999</v>
      </c>
      <c r="G65" s="8">
        <v>200</v>
      </c>
      <c r="H65" s="8">
        <v>1</v>
      </c>
      <c r="I65" s="38">
        <v>150</v>
      </c>
      <c r="J65" s="8">
        <v>5</v>
      </c>
      <c r="K65" s="38">
        <v>294</v>
      </c>
      <c r="L65" s="42" t="s">
        <v>204</v>
      </c>
      <c r="M65" s="43" t="s">
        <v>205</v>
      </c>
    </row>
    <row r="66" spans="1:13" ht="15">
      <c r="A66" s="5" t="s">
        <v>206</v>
      </c>
      <c r="B66" s="6" t="s">
        <v>200</v>
      </c>
      <c r="C66" s="7">
        <f t="shared" si="9"/>
        <v>0.57999999999999996</v>
      </c>
      <c r="D66" s="6">
        <f>(6.2+1.52)/2</f>
        <v>3.8600000000000003</v>
      </c>
      <c r="E66" s="8">
        <v>100</v>
      </c>
      <c r="F66" s="38">
        <v>90</v>
      </c>
      <c r="G66" s="8">
        <v>12</v>
      </c>
      <c r="H66" s="8">
        <v>3</v>
      </c>
      <c r="I66" s="38">
        <v>150</v>
      </c>
      <c r="J66" s="8">
        <v>4</v>
      </c>
      <c r="K66" s="38">
        <v>298</v>
      </c>
      <c r="L66" s="42" t="s">
        <v>207</v>
      </c>
      <c r="M66" s="43" t="s">
        <v>208</v>
      </c>
    </row>
    <row r="67" spans="1:13" ht="15">
      <c r="A67" s="5" t="s">
        <v>209</v>
      </c>
      <c r="B67" s="6" t="s">
        <v>200</v>
      </c>
      <c r="C67" s="7">
        <f t="shared" si="9"/>
        <v>9.15</v>
      </c>
      <c r="D67" s="6">
        <v>60.98</v>
      </c>
      <c r="E67" s="8">
        <v>60</v>
      </c>
      <c r="F67" s="38">
        <v>65.38</v>
      </c>
      <c r="G67" s="8">
        <v>80</v>
      </c>
      <c r="H67" s="8">
        <v>1</v>
      </c>
      <c r="I67" s="38">
        <v>150</v>
      </c>
      <c r="J67" s="8">
        <v>5.51</v>
      </c>
      <c r="K67" s="38">
        <v>252.87</v>
      </c>
      <c r="L67" s="42" t="s">
        <v>210</v>
      </c>
      <c r="M67" s="43" t="s">
        <v>211</v>
      </c>
    </row>
    <row r="68" spans="1:13" ht="15">
      <c r="A68" s="5" t="s">
        <v>212</v>
      </c>
      <c r="B68" s="6" t="s">
        <v>200</v>
      </c>
      <c r="C68" s="7">
        <f>ROUND(29.68 * 6.022 * PI() * (0.71)^2 / 63.55, 2)</f>
        <v>4.45</v>
      </c>
      <c r="D68" s="40">
        <v>29.68</v>
      </c>
      <c r="E68" s="8">
        <v>50</v>
      </c>
      <c r="F68" s="8">
        <v>76.2</v>
      </c>
      <c r="G68" s="8">
        <v>30</v>
      </c>
      <c r="H68" s="8">
        <v>1.5</v>
      </c>
      <c r="I68" s="38">
        <v>120</v>
      </c>
      <c r="J68" s="8">
        <v>5</v>
      </c>
      <c r="K68" s="38">
        <v>394</v>
      </c>
      <c r="L68" s="42" t="s">
        <v>213</v>
      </c>
      <c r="M68" s="43" t="s">
        <v>214</v>
      </c>
    </row>
    <row r="69" spans="1:13" ht="15">
      <c r="A69" s="5" t="s">
        <v>215</v>
      </c>
      <c r="B69" s="6" t="s">
        <v>200</v>
      </c>
      <c r="C69" s="7">
        <f t="shared" ref="C69:C72" si="10">ROUND(D69 * 6.022 * PI() * (0.71)^2 / 63.55, 2)</f>
        <v>0.39</v>
      </c>
      <c r="D69" s="6">
        <v>2.59</v>
      </c>
      <c r="E69" s="8">
        <v>110</v>
      </c>
      <c r="F69" s="8">
        <v>43.08</v>
      </c>
      <c r="G69" s="38">
        <v>120</v>
      </c>
      <c r="H69" s="8">
        <v>15</v>
      </c>
      <c r="I69" s="38">
        <v>125</v>
      </c>
      <c r="J69" s="8">
        <v>3.5</v>
      </c>
      <c r="K69" s="38">
        <v>298</v>
      </c>
      <c r="L69" s="42" t="s">
        <v>216</v>
      </c>
      <c r="M69" s="43" t="s">
        <v>217</v>
      </c>
    </row>
    <row r="70" spans="1:13" ht="13.8">
      <c r="A70" s="46" t="s">
        <v>218</v>
      </c>
      <c r="B70" s="6" t="s">
        <v>200</v>
      </c>
      <c r="C70" s="7">
        <f t="shared" si="10"/>
        <v>7.63</v>
      </c>
      <c r="D70" s="6">
        <v>50.87</v>
      </c>
      <c r="E70" s="8">
        <v>127</v>
      </c>
      <c r="F70" s="8">
        <v>90</v>
      </c>
      <c r="G70" s="8">
        <v>30</v>
      </c>
      <c r="H70" s="8">
        <v>2</v>
      </c>
      <c r="I70" s="38">
        <v>200</v>
      </c>
      <c r="J70" s="8">
        <v>5</v>
      </c>
      <c r="K70" s="38">
        <v>298</v>
      </c>
      <c r="L70" s="42" t="s">
        <v>219</v>
      </c>
      <c r="M70" s="47" t="s">
        <v>220</v>
      </c>
    </row>
    <row r="71" spans="1:13" ht="13.8">
      <c r="A71" s="5" t="s">
        <v>221</v>
      </c>
      <c r="B71" s="6" t="s">
        <v>200</v>
      </c>
      <c r="C71" s="7">
        <f t="shared" si="10"/>
        <v>24.01</v>
      </c>
      <c r="D71" s="6">
        <v>160</v>
      </c>
      <c r="E71" s="8">
        <v>40</v>
      </c>
      <c r="F71" s="8">
        <v>100</v>
      </c>
      <c r="G71" s="8">
        <v>720</v>
      </c>
      <c r="H71" s="8">
        <v>2.5</v>
      </c>
      <c r="I71" s="38">
        <v>190</v>
      </c>
      <c r="J71" s="8">
        <v>4.5</v>
      </c>
      <c r="K71" s="38">
        <v>298</v>
      </c>
      <c r="L71" s="42" t="s">
        <v>222</v>
      </c>
      <c r="M71" s="48" t="s">
        <v>223</v>
      </c>
    </row>
    <row r="72" spans="1:13" ht="13.8">
      <c r="A72" s="5" t="s">
        <v>224</v>
      </c>
      <c r="B72" s="6" t="s">
        <v>200</v>
      </c>
      <c r="C72" s="7">
        <f t="shared" si="10"/>
        <v>15.32</v>
      </c>
      <c r="D72" s="6">
        <f>(71.4+19.3+11.4)</f>
        <v>102.10000000000001</v>
      </c>
      <c r="E72" s="8">
        <v>50</v>
      </c>
      <c r="F72" s="8">
        <v>87.3</v>
      </c>
      <c r="G72" s="8">
        <v>225</v>
      </c>
      <c r="H72" s="8">
        <v>0.1</v>
      </c>
      <c r="I72" s="38">
        <v>150</v>
      </c>
      <c r="J72" s="38">
        <v>4.5</v>
      </c>
      <c r="K72" s="38">
        <v>298</v>
      </c>
      <c r="L72" s="42" t="s">
        <v>225</v>
      </c>
      <c r="M72" s="48" t="s">
        <v>226</v>
      </c>
    </row>
    <row r="73" spans="1:13" ht="13.8">
      <c r="A73" s="5" t="s">
        <v>227</v>
      </c>
      <c r="B73" s="6" t="s">
        <v>200</v>
      </c>
      <c r="C73" s="24">
        <f>ROUND(16.9 * 6.022 * PI() * (0.71)^2 / 63.55, 2)</f>
        <v>2.54</v>
      </c>
      <c r="D73" s="25">
        <v>16.899999999999999</v>
      </c>
      <c r="E73" s="8">
        <v>80</v>
      </c>
      <c r="F73" s="38">
        <v>90.65</v>
      </c>
      <c r="G73" s="8">
        <v>120</v>
      </c>
      <c r="H73" s="8">
        <v>0.5</v>
      </c>
      <c r="I73" s="38">
        <v>5000</v>
      </c>
      <c r="J73" s="8">
        <v>5</v>
      </c>
      <c r="K73" s="38">
        <v>298</v>
      </c>
      <c r="L73" s="42" t="s">
        <v>228</v>
      </c>
      <c r="M73" s="48" t="s">
        <v>229</v>
      </c>
    </row>
    <row r="74" spans="1:13" ht="13.8">
      <c r="A74" s="5" t="s">
        <v>230</v>
      </c>
      <c r="B74" s="6" t="s">
        <v>200</v>
      </c>
      <c r="C74" s="24">
        <f>ROUND(19.3 * 6.022 * PI() * (0.71)^2 / 63.55, 2)</f>
        <v>2.9</v>
      </c>
      <c r="D74" s="6" t="s">
        <v>231</v>
      </c>
      <c r="E74" s="8">
        <v>80</v>
      </c>
      <c r="F74" s="38">
        <v>90.65</v>
      </c>
      <c r="G74" s="8">
        <v>120</v>
      </c>
      <c r="H74" s="8">
        <v>5</v>
      </c>
      <c r="I74" s="38">
        <v>5000</v>
      </c>
      <c r="J74" s="8">
        <v>4</v>
      </c>
      <c r="K74" s="38">
        <v>298</v>
      </c>
      <c r="L74" s="42" t="s">
        <v>228</v>
      </c>
      <c r="M74" s="48" t="s">
        <v>232</v>
      </c>
    </row>
    <row r="75" spans="1:13" ht="13.8">
      <c r="A75" s="49" t="s">
        <v>233</v>
      </c>
      <c r="B75" s="6" t="s">
        <v>200</v>
      </c>
      <c r="C75" s="7">
        <f t="shared" ref="C75:C81" si="11">ROUND(D75 * 6.022 * PI() * (0.71)^2 / 63.55, 2)</f>
        <v>14.21</v>
      </c>
      <c r="D75" s="6">
        <f>(92.6+96.8)/2</f>
        <v>94.699999999999989</v>
      </c>
      <c r="E75" s="8">
        <v>250</v>
      </c>
      <c r="F75" s="8">
        <v>91</v>
      </c>
      <c r="G75" s="38">
        <v>120</v>
      </c>
      <c r="H75" s="8">
        <v>2.5</v>
      </c>
      <c r="I75" s="38">
        <v>150</v>
      </c>
      <c r="J75" s="38">
        <v>6.7</v>
      </c>
      <c r="K75" s="38">
        <v>293</v>
      </c>
      <c r="L75" s="42" t="s">
        <v>234</v>
      </c>
      <c r="M75" s="50" t="s">
        <v>235</v>
      </c>
    </row>
    <row r="76" spans="1:13" ht="13.8">
      <c r="A76" s="5" t="s">
        <v>236</v>
      </c>
      <c r="B76" s="6" t="s">
        <v>200</v>
      </c>
      <c r="C76" s="7">
        <f t="shared" si="11"/>
        <v>3.68</v>
      </c>
      <c r="D76" s="6">
        <f>(18+31)/2</f>
        <v>24.5</v>
      </c>
      <c r="E76" s="41">
        <v>100</v>
      </c>
      <c r="F76" s="8">
        <v>90</v>
      </c>
      <c r="G76" s="8">
        <v>120</v>
      </c>
      <c r="H76" s="8">
        <v>0.4</v>
      </c>
      <c r="I76" s="38">
        <v>125</v>
      </c>
      <c r="J76" s="8">
        <v>4</v>
      </c>
      <c r="K76" s="38">
        <v>298</v>
      </c>
      <c r="L76" s="42" t="s">
        <v>237</v>
      </c>
      <c r="M76" s="48" t="s">
        <v>238</v>
      </c>
    </row>
    <row r="77" spans="1:13" ht="13.8">
      <c r="A77" s="5" t="s">
        <v>239</v>
      </c>
      <c r="B77" s="6" t="s">
        <v>200</v>
      </c>
      <c r="C77" s="7">
        <f t="shared" si="11"/>
        <v>128.61000000000001</v>
      </c>
      <c r="D77" s="6">
        <f>(112+1602)/2</f>
        <v>857</v>
      </c>
      <c r="E77" s="8">
        <v>260</v>
      </c>
      <c r="F77" s="38">
        <v>99</v>
      </c>
      <c r="G77" s="8">
        <v>120</v>
      </c>
      <c r="H77" s="38">
        <v>1</v>
      </c>
      <c r="I77" s="38">
        <v>125</v>
      </c>
      <c r="J77" s="8">
        <v>6</v>
      </c>
      <c r="K77" s="38">
        <v>298</v>
      </c>
      <c r="L77" s="42" t="s">
        <v>240</v>
      </c>
      <c r="M77" s="48" t="s">
        <v>241</v>
      </c>
    </row>
    <row r="78" spans="1:13" ht="13.8">
      <c r="A78" s="5" t="s">
        <v>242</v>
      </c>
      <c r="B78" s="6" t="s">
        <v>200</v>
      </c>
      <c r="C78" s="7">
        <f t="shared" si="11"/>
        <v>5.43</v>
      </c>
      <c r="D78" s="6">
        <v>36.200000000000003</v>
      </c>
      <c r="E78" s="51">
        <v>300</v>
      </c>
      <c r="F78" s="38">
        <v>20</v>
      </c>
      <c r="G78" s="8">
        <v>30</v>
      </c>
      <c r="H78" s="8">
        <v>1</v>
      </c>
      <c r="I78" s="38">
        <v>5000</v>
      </c>
      <c r="J78" s="8">
        <v>5</v>
      </c>
      <c r="K78" s="38">
        <v>298</v>
      </c>
      <c r="L78" s="42" t="s">
        <v>243</v>
      </c>
      <c r="M78" s="48" t="s">
        <v>244</v>
      </c>
    </row>
    <row r="79" spans="1:13" ht="13.8">
      <c r="A79" s="5" t="s">
        <v>245</v>
      </c>
      <c r="B79" s="6" t="s">
        <v>200</v>
      </c>
      <c r="C79" s="7">
        <f t="shared" si="11"/>
        <v>0.99</v>
      </c>
      <c r="D79" s="6">
        <v>6.6</v>
      </c>
      <c r="E79" s="8">
        <v>0.1</v>
      </c>
      <c r="F79" s="8">
        <v>80</v>
      </c>
      <c r="G79" s="8">
        <v>10</v>
      </c>
      <c r="H79" s="8">
        <v>1</v>
      </c>
      <c r="I79" s="38">
        <v>5500</v>
      </c>
      <c r="J79" s="8">
        <v>5</v>
      </c>
      <c r="K79" s="38">
        <v>298</v>
      </c>
      <c r="L79" s="42" t="s">
        <v>246</v>
      </c>
      <c r="M79" s="48" t="s">
        <v>247</v>
      </c>
    </row>
    <row r="80" spans="1:13" ht="13.8">
      <c r="A80" s="5" t="s">
        <v>248</v>
      </c>
      <c r="B80" s="6" t="s">
        <v>200</v>
      </c>
      <c r="C80" s="7">
        <f t="shared" si="11"/>
        <v>9</v>
      </c>
      <c r="D80" s="6">
        <v>60</v>
      </c>
      <c r="E80" s="8">
        <v>100</v>
      </c>
      <c r="F80" s="38">
        <v>99</v>
      </c>
      <c r="G80" s="8">
        <v>150</v>
      </c>
      <c r="H80" s="8">
        <v>3</v>
      </c>
      <c r="I80" s="38">
        <v>125</v>
      </c>
      <c r="J80" s="8">
        <v>6</v>
      </c>
      <c r="K80" s="38">
        <v>303</v>
      </c>
      <c r="L80" s="42" t="s">
        <v>249</v>
      </c>
      <c r="M80" s="48" t="s">
        <v>250</v>
      </c>
    </row>
    <row r="81" spans="1:13" ht="13.8">
      <c r="A81" s="5" t="s">
        <v>251</v>
      </c>
      <c r="B81" s="6" t="s">
        <v>200</v>
      </c>
      <c r="C81" s="7">
        <f t="shared" si="11"/>
        <v>1.34</v>
      </c>
      <c r="D81" s="6">
        <f>(16.25+ 1.64)/2</f>
        <v>8.9450000000000003</v>
      </c>
      <c r="E81" s="8">
        <v>100</v>
      </c>
      <c r="F81" s="38">
        <v>17.89</v>
      </c>
      <c r="G81" s="8">
        <v>30</v>
      </c>
      <c r="H81" s="8">
        <v>2</v>
      </c>
      <c r="I81" s="38">
        <v>125</v>
      </c>
      <c r="J81" s="8">
        <v>5</v>
      </c>
      <c r="K81" s="38">
        <v>298</v>
      </c>
      <c r="L81" s="42" t="s">
        <v>252</v>
      </c>
      <c r="M81" s="48" t="s">
        <v>253</v>
      </c>
    </row>
    <row r="82" spans="1:13" ht="13.8">
      <c r="A82" s="5" t="s">
        <v>254</v>
      </c>
      <c r="B82" s="52" t="s">
        <v>200</v>
      </c>
      <c r="C82" s="7">
        <v>630</v>
      </c>
      <c r="D82" s="6">
        <v>37.17</v>
      </c>
      <c r="E82" s="8">
        <v>100</v>
      </c>
      <c r="F82" s="8">
        <v>90</v>
      </c>
      <c r="G82" s="8">
        <v>60</v>
      </c>
      <c r="H82" s="8">
        <f>0.25/(25/1000)</f>
        <v>10</v>
      </c>
      <c r="I82" s="8">
        <v>150</v>
      </c>
      <c r="J82" s="8">
        <v>6.6</v>
      </c>
      <c r="K82" s="8">
        <v>303</v>
      </c>
      <c r="L82" s="53" t="s">
        <v>255</v>
      </c>
      <c r="M82" s="16" t="s">
        <v>256</v>
      </c>
    </row>
    <row r="83" spans="1:13" ht="13.8">
      <c r="A83" s="5" t="s">
        <v>257</v>
      </c>
      <c r="B83" s="52" t="s">
        <v>258</v>
      </c>
      <c r="C83" s="7">
        <f>ROUND(D83 * 6.022 * PI() * (0.69)^2 / 58.69, 2)</f>
        <v>0.44</v>
      </c>
      <c r="D83" s="6">
        <v>2.88</v>
      </c>
      <c r="E83" s="38">
        <v>50</v>
      </c>
      <c r="F83" s="38">
        <v>28.8</v>
      </c>
      <c r="G83" s="38">
        <v>120</v>
      </c>
      <c r="H83" s="8">
        <v>0.05</v>
      </c>
      <c r="I83" s="38">
        <v>125</v>
      </c>
      <c r="J83" s="8">
        <v>4.5</v>
      </c>
      <c r="K83" s="8">
        <v>298</v>
      </c>
      <c r="L83" s="54" t="s">
        <v>259</v>
      </c>
      <c r="M83" s="48" t="s">
        <v>260</v>
      </c>
    </row>
    <row r="84" spans="1:13" ht="13.8">
      <c r="A84" s="5" t="s">
        <v>261</v>
      </c>
      <c r="B84" s="52" t="s">
        <v>258</v>
      </c>
      <c r="C84" s="7">
        <v>699</v>
      </c>
      <c r="D84" s="6">
        <v>12.89</v>
      </c>
      <c r="E84" s="8">
        <v>100</v>
      </c>
      <c r="F84" s="38">
        <v>100</v>
      </c>
      <c r="G84" s="8">
        <v>360</v>
      </c>
      <c r="H84" s="8">
        <v>1</v>
      </c>
      <c r="I84" s="8">
        <v>200</v>
      </c>
      <c r="J84" s="8">
        <v>6</v>
      </c>
      <c r="K84" s="8">
        <v>298</v>
      </c>
      <c r="L84" s="54" t="s">
        <v>262</v>
      </c>
      <c r="M84" s="48" t="s">
        <v>263</v>
      </c>
    </row>
    <row r="85" spans="1:13" ht="13.8">
      <c r="A85" s="5" t="s">
        <v>264</v>
      </c>
      <c r="B85" s="52" t="s">
        <v>44</v>
      </c>
      <c r="C85" s="7">
        <v>109.8</v>
      </c>
      <c r="D85" s="6">
        <v>19.190000000000001</v>
      </c>
      <c r="E85" s="8">
        <v>15</v>
      </c>
      <c r="F85" s="38">
        <v>78</v>
      </c>
      <c r="G85" s="38">
        <v>10</v>
      </c>
      <c r="H85" s="8">
        <v>0.1</v>
      </c>
      <c r="I85" s="38">
        <v>5000</v>
      </c>
      <c r="J85" s="38">
        <v>5</v>
      </c>
      <c r="K85" s="38">
        <v>378</v>
      </c>
      <c r="L85" s="54" t="s">
        <v>265</v>
      </c>
      <c r="M85" s="48" t="s">
        <v>266</v>
      </c>
    </row>
    <row r="86" spans="1:13" ht="13.8">
      <c r="A86" s="5" t="s">
        <v>267</v>
      </c>
      <c r="B86" s="52" t="s">
        <v>44</v>
      </c>
      <c r="C86" s="7">
        <f>ROUND(D86 * 6.022 * PI() * (1.33)^2 / 207.2, 2)</f>
        <v>4.49</v>
      </c>
      <c r="D86" s="6">
        <v>27.79</v>
      </c>
      <c r="E86" s="8">
        <v>100</v>
      </c>
      <c r="F86" s="38">
        <v>82</v>
      </c>
      <c r="G86" s="8">
        <v>1440</v>
      </c>
      <c r="H86" s="8">
        <v>0.05</v>
      </c>
      <c r="I86" s="38">
        <v>200</v>
      </c>
      <c r="J86" s="8">
        <v>4</v>
      </c>
      <c r="K86" s="38">
        <v>303</v>
      </c>
      <c r="L86" s="54" t="s">
        <v>268</v>
      </c>
      <c r="M86" s="48" t="s">
        <v>269</v>
      </c>
    </row>
    <row r="87" spans="1:13" ht="13.8">
      <c r="A87" s="5" t="s">
        <v>270</v>
      </c>
      <c r="B87" s="52" t="s">
        <v>44</v>
      </c>
      <c r="C87" s="7">
        <v>2.73</v>
      </c>
      <c r="D87" s="6">
        <v>4.13</v>
      </c>
      <c r="E87" s="8">
        <v>100</v>
      </c>
      <c r="F87" s="38">
        <v>100</v>
      </c>
      <c r="G87" s="8">
        <v>1440</v>
      </c>
      <c r="H87" s="8">
        <v>10</v>
      </c>
      <c r="I87" s="38">
        <v>12</v>
      </c>
      <c r="J87" s="8">
        <v>5</v>
      </c>
      <c r="K87" s="38">
        <v>298</v>
      </c>
      <c r="L87" s="54" t="s">
        <v>271</v>
      </c>
      <c r="M87" s="48" t="s">
        <v>272</v>
      </c>
    </row>
    <row r="88" spans="1:13" ht="13.8">
      <c r="A88" s="5" t="s">
        <v>273</v>
      </c>
      <c r="B88" s="52" t="s">
        <v>44</v>
      </c>
      <c r="C88" s="7">
        <v>984</v>
      </c>
      <c r="D88" s="6">
        <v>30.11</v>
      </c>
      <c r="E88" s="8">
        <v>100</v>
      </c>
      <c r="F88" s="38">
        <v>100</v>
      </c>
      <c r="G88" s="8">
        <v>1440</v>
      </c>
      <c r="H88" s="8">
        <v>10</v>
      </c>
      <c r="I88" s="38">
        <v>12</v>
      </c>
      <c r="J88" s="8">
        <v>5</v>
      </c>
      <c r="K88" s="8">
        <v>298</v>
      </c>
      <c r="L88" s="54" t="s">
        <v>271</v>
      </c>
      <c r="M88" s="48" t="s">
        <v>272</v>
      </c>
    </row>
    <row r="89" spans="1:13" ht="13.8">
      <c r="A89" s="5" t="s">
        <v>274</v>
      </c>
      <c r="B89" s="52" t="s">
        <v>44</v>
      </c>
      <c r="C89" s="7">
        <f>ROUND(D89 * 6.022 * PI() * (1.33)^2 / 207.2, 2)</f>
        <v>2.82</v>
      </c>
      <c r="D89" s="6">
        <v>17.440000000000001</v>
      </c>
      <c r="E89" s="8">
        <v>20</v>
      </c>
      <c r="F89" s="38">
        <v>83</v>
      </c>
      <c r="G89" s="8">
        <v>240</v>
      </c>
      <c r="H89" s="8">
        <v>0.05</v>
      </c>
      <c r="I89" s="38">
        <v>125</v>
      </c>
      <c r="J89" s="8">
        <v>7</v>
      </c>
      <c r="K89" s="38">
        <v>298</v>
      </c>
      <c r="L89" s="54" t="s">
        <v>275</v>
      </c>
      <c r="M89" s="48" t="s">
        <v>276</v>
      </c>
    </row>
    <row r="90" spans="1:13" ht="13.8">
      <c r="A90" s="5" t="s">
        <v>277</v>
      </c>
      <c r="B90" s="52" t="s">
        <v>110</v>
      </c>
      <c r="C90" s="7">
        <v>1000</v>
      </c>
      <c r="D90" s="6">
        <v>178.5</v>
      </c>
      <c r="E90" s="8">
        <v>30</v>
      </c>
      <c r="F90" s="8">
        <v>86</v>
      </c>
      <c r="G90" s="8">
        <v>20</v>
      </c>
      <c r="H90" s="8">
        <v>0.02</v>
      </c>
      <c r="I90" s="8">
        <v>100</v>
      </c>
      <c r="J90" s="8">
        <v>2</v>
      </c>
      <c r="K90" s="38">
        <v>298</v>
      </c>
      <c r="L90" s="54" t="s">
        <v>278</v>
      </c>
      <c r="M90" s="48" t="s">
        <v>279</v>
      </c>
    </row>
    <row r="91" spans="1:13" ht="13.8">
      <c r="A91" s="5" t="s">
        <v>277</v>
      </c>
      <c r="B91" s="52" t="s">
        <v>44</v>
      </c>
      <c r="C91" s="7">
        <v>1000</v>
      </c>
      <c r="D91" s="6">
        <v>294.10000000000002</v>
      </c>
      <c r="E91" s="8">
        <v>50</v>
      </c>
      <c r="F91" s="8">
        <v>74</v>
      </c>
      <c r="G91" s="8">
        <v>20</v>
      </c>
      <c r="H91" s="8">
        <v>0.02</v>
      </c>
      <c r="I91" s="8">
        <v>100</v>
      </c>
      <c r="J91" s="8">
        <v>2</v>
      </c>
      <c r="K91" s="38">
        <v>298</v>
      </c>
      <c r="L91" s="54" t="s">
        <v>278</v>
      </c>
      <c r="M91" s="55" t="s">
        <v>280</v>
      </c>
    </row>
    <row r="92" spans="1:13" ht="13.8">
      <c r="A92" s="5" t="s">
        <v>277</v>
      </c>
      <c r="B92" s="52" t="s">
        <v>13</v>
      </c>
      <c r="C92" s="7">
        <v>1000</v>
      </c>
      <c r="D92" s="6">
        <v>60.9</v>
      </c>
      <c r="E92" s="8">
        <v>100</v>
      </c>
      <c r="F92" s="8">
        <v>29.6</v>
      </c>
      <c r="G92" s="8">
        <v>20</v>
      </c>
      <c r="H92" s="8">
        <v>0.02</v>
      </c>
      <c r="I92" s="8">
        <v>100</v>
      </c>
      <c r="J92" s="8">
        <v>2</v>
      </c>
      <c r="K92" s="38">
        <v>298</v>
      </c>
      <c r="L92" s="54" t="s">
        <v>278</v>
      </c>
      <c r="M92" s="55" t="s">
        <v>281</v>
      </c>
    </row>
    <row r="93" spans="1:13" ht="13.8">
      <c r="A93" s="5" t="s">
        <v>277</v>
      </c>
      <c r="B93" s="52" t="s">
        <v>258</v>
      </c>
      <c r="C93" s="7">
        <v>1000</v>
      </c>
      <c r="D93" s="6">
        <v>400</v>
      </c>
      <c r="E93" s="8">
        <v>200</v>
      </c>
      <c r="F93" s="8">
        <v>84.1</v>
      </c>
      <c r="G93" s="8">
        <v>20</v>
      </c>
      <c r="H93" s="8">
        <v>0.02</v>
      </c>
      <c r="I93" s="8">
        <v>100</v>
      </c>
      <c r="J93" s="8">
        <v>2</v>
      </c>
      <c r="K93" s="38">
        <v>298</v>
      </c>
      <c r="L93" s="54" t="s">
        <v>278</v>
      </c>
      <c r="M93" s="55" t="s">
        <v>282</v>
      </c>
    </row>
    <row r="94" spans="1:13" ht="13.8">
      <c r="A94" s="5" t="s">
        <v>277</v>
      </c>
      <c r="B94" s="52" t="s">
        <v>283</v>
      </c>
      <c r="C94" s="7">
        <v>1000</v>
      </c>
      <c r="D94" s="6">
        <v>344.8</v>
      </c>
      <c r="E94" s="8">
        <v>30</v>
      </c>
      <c r="F94" s="8">
        <v>83.6</v>
      </c>
      <c r="G94" s="8">
        <v>20</v>
      </c>
      <c r="H94" s="8">
        <v>0.02</v>
      </c>
      <c r="I94" s="8">
        <v>100</v>
      </c>
      <c r="J94" s="8">
        <v>2</v>
      </c>
      <c r="K94" s="38">
        <v>298</v>
      </c>
      <c r="L94" s="54" t="s">
        <v>278</v>
      </c>
      <c r="M94" s="55" t="s">
        <v>284</v>
      </c>
    </row>
    <row r="95" spans="1:13" ht="13.8">
      <c r="A95" s="56" t="s">
        <v>285</v>
      </c>
      <c r="B95" s="6" t="s">
        <v>13</v>
      </c>
      <c r="C95" s="7">
        <v>36.47</v>
      </c>
      <c r="D95" s="6">
        <v>6.4</v>
      </c>
      <c r="E95" s="8">
        <v>5</v>
      </c>
      <c r="F95" s="8">
        <v>98.7</v>
      </c>
      <c r="G95" s="8">
        <v>50</v>
      </c>
      <c r="H95" s="8">
        <v>2</v>
      </c>
      <c r="I95" s="38">
        <v>400</v>
      </c>
      <c r="J95" s="8">
        <v>5</v>
      </c>
      <c r="K95" s="8">
        <v>298</v>
      </c>
      <c r="L95" s="53" t="s">
        <v>286</v>
      </c>
      <c r="M95" s="26" t="s">
        <v>287</v>
      </c>
    </row>
    <row r="96" spans="1:13" ht="13.8">
      <c r="A96" s="56" t="s">
        <v>288</v>
      </c>
      <c r="B96" s="6" t="s">
        <v>110</v>
      </c>
      <c r="C96" s="7">
        <v>52.18</v>
      </c>
      <c r="D96" s="6">
        <v>35</v>
      </c>
      <c r="E96" s="8">
        <v>5</v>
      </c>
      <c r="F96" s="38">
        <v>92</v>
      </c>
      <c r="G96" s="8">
        <v>20</v>
      </c>
      <c r="H96" s="8">
        <v>1</v>
      </c>
      <c r="I96" s="38">
        <v>200</v>
      </c>
      <c r="J96" s="8">
        <v>6</v>
      </c>
      <c r="K96" s="8">
        <v>298</v>
      </c>
      <c r="L96" s="53" t="s">
        <v>289</v>
      </c>
      <c r="M96" s="57" t="s">
        <v>290</v>
      </c>
    </row>
    <row r="97" spans="1:13" ht="13.8">
      <c r="A97" s="56" t="s">
        <v>291</v>
      </c>
      <c r="B97" s="6" t="s">
        <v>292</v>
      </c>
      <c r="C97" s="7">
        <v>71.23</v>
      </c>
      <c r="D97" s="6">
        <v>217.39</v>
      </c>
      <c r="E97" s="8">
        <v>5</v>
      </c>
      <c r="F97" s="8">
        <v>94.32</v>
      </c>
      <c r="G97" s="8">
        <v>30</v>
      </c>
      <c r="H97" s="8">
        <v>2</v>
      </c>
      <c r="I97" s="38">
        <v>400</v>
      </c>
      <c r="J97" s="8">
        <v>6</v>
      </c>
      <c r="K97" s="8">
        <v>298</v>
      </c>
      <c r="L97" s="53" t="s">
        <v>293</v>
      </c>
      <c r="M97" s="57" t="s">
        <v>294</v>
      </c>
    </row>
    <row r="98" spans="1:13" ht="13.8">
      <c r="A98" s="56" t="s">
        <v>295</v>
      </c>
      <c r="B98" s="6" t="s">
        <v>110</v>
      </c>
      <c r="C98" s="7">
        <v>17.84</v>
      </c>
      <c r="D98" s="6">
        <v>303</v>
      </c>
      <c r="E98" s="8">
        <v>20</v>
      </c>
      <c r="F98" s="8">
        <v>100</v>
      </c>
      <c r="G98" s="8">
        <v>50</v>
      </c>
      <c r="H98" s="8">
        <v>20</v>
      </c>
      <c r="I98" s="38">
        <v>125</v>
      </c>
      <c r="J98" s="8">
        <v>6</v>
      </c>
      <c r="K98" s="8">
        <v>298</v>
      </c>
      <c r="L98" s="10" t="s">
        <v>296</v>
      </c>
      <c r="M98" s="12" t="s">
        <v>297</v>
      </c>
    </row>
    <row r="99" spans="1:13" ht="13.8">
      <c r="A99" s="56" t="s">
        <v>298</v>
      </c>
      <c r="B99" s="52" t="s">
        <v>200</v>
      </c>
      <c r="C99" s="7">
        <v>37.079000000000001</v>
      </c>
      <c r="D99" s="6">
        <v>74.599999999999994</v>
      </c>
      <c r="E99" s="8">
        <v>100</v>
      </c>
      <c r="F99" s="8">
        <v>72.150000000000006</v>
      </c>
      <c r="G99" s="8">
        <v>2</v>
      </c>
      <c r="H99" s="8">
        <v>0.12</v>
      </c>
      <c r="I99" s="38">
        <v>200</v>
      </c>
      <c r="J99" s="38">
        <v>5</v>
      </c>
      <c r="K99" s="38">
        <v>298</v>
      </c>
      <c r="L99" s="53" t="s">
        <v>299</v>
      </c>
      <c r="M99" s="57" t="s">
        <v>300</v>
      </c>
    </row>
    <row r="100" spans="1:13" ht="13.8">
      <c r="A100" s="5" t="s">
        <v>301</v>
      </c>
      <c r="B100" s="52" t="s">
        <v>200</v>
      </c>
      <c r="C100" s="7">
        <v>15.55</v>
      </c>
      <c r="D100" s="6">
        <v>5.73</v>
      </c>
      <c r="E100" s="8">
        <v>10</v>
      </c>
      <c r="F100" s="38">
        <v>98</v>
      </c>
      <c r="G100" s="38">
        <v>20</v>
      </c>
      <c r="H100" s="8">
        <v>0.5</v>
      </c>
      <c r="I100" s="38">
        <v>125</v>
      </c>
      <c r="J100" s="8">
        <v>5</v>
      </c>
      <c r="K100" s="8">
        <v>293</v>
      </c>
      <c r="L100" s="58" t="s">
        <v>302</v>
      </c>
      <c r="M100" s="12" t="s">
        <v>303</v>
      </c>
    </row>
    <row r="101" spans="1:13" ht="13.8">
      <c r="A101" s="5" t="s">
        <v>301</v>
      </c>
      <c r="B101" s="52" t="s">
        <v>200</v>
      </c>
      <c r="C101" s="7">
        <f t="shared" ref="C101:C104" si="12">ROUND(D101 * 6.022 * PI() * (0.71)^2 / 63.55, 2)</f>
        <v>4.6900000000000004</v>
      </c>
      <c r="D101" s="6">
        <v>31.25</v>
      </c>
      <c r="E101" s="8">
        <v>10</v>
      </c>
      <c r="F101" s="8">
        <v>88</v>
      </c>
      <c r="G101" s="38">
        <v>10</v>
      </c>
      <c r="H101" s="8">
        <v>1</v>
      </c>
      <c r="I101" s="38">
        <v>4000</v>
      </c>
      <c r="J101" s="8">
        <v>5</v>
      </c>
      <c r="K101" s="8">
        <v>313</v>
      </c>
      <c r="L101" s="54" t="s">
        <v>304</v>
      </c>
      <c r="M101" s="48" t="s">
        <v>305</v>
      </c>
    </row>
    <row r="102" spans="1:13" ht="13.8">
      <c r="A102" s="5" t="s">
        <v>301</v>
      </c>
      <c r="B102" s="52" t="s">
        <v>200</v>
      </c>
      <c r="C102" s="7">
        <f t="shared" si="12"/>
        <v>0.94</v>
      </c>
      <c r="D102" s="6">
        <v>6.2809999999999997</v>
      </c>
      <c r="E102" s="8">
        <v>10</v>
      </c>
      <c r="F102" s="8">
        <v>58.4</v>
      </c>
      <c r="G102" s="38">
        <v>600</v>
      </c>
      <c r="H102" s="8">
        <v>0.5</v>
      </c>
      <c r="I102" s="38">
        <v>125</v>
      </c>
      <c r="J102" s="8">
        <v>5</v>
      </c>
      <c r="K102" s="8">
        <v>293</v>
      </c>
      <c r="L102" s="54" t="s">
        <v>306</v>
      </c>
      <c r="M102" s="48" t="s">
        <v>307</v>
      </c>
    </row>
    <row r="103" spans="1:13" ht="13.8">
      <c r="A103" s="5" t="s">
        <v>301</v>
      </c>
      <c r="B103" s="52" t="s">
        <v>200</v>
      </c>
      <c r="C103" s="7">
        <f t="shared" si="12"/>
        <v>5.88</v>
      </c>
      <c r="D103" s="6">
        <v>39.200000000000003</v>
      </c>
      <c r="E103" s="8">
        <v>300</v>
      </c>
      <c r="F103" s="38">
        <v>98.1</v>
      </c>
      <c r="G103" s="38">
        <v>120</v>
      </c>
      <c r="H103" s="8">
        <v>2.5</v>
      </c>
      <c r="I103" s="38">
        <v>125</v>
      </c>
      <c r="J103" s="8">
        <v>5</v>
      </c>
      <c r="K103" s="8">
        <v>303</v>
      </c>
      <c r="L103" s="54" t="s">
        <v>308</v>
      </c>
      <c r="M103" s="48" t="s">
        <v>309</v>
      </c>
    </row>
    <row r="104" spans="1:13" ht="13.8">
      <c r="A104" s="5" t="s">
        <v>301</v>
      </c>
      <c r="B104" s="52" t="s">
        <v>200</v>
      </c>
      <c r="C104" s="7">
        <f t="shared" si="12"/>
        <v>1.44</v>
      </c>
      <c r="D104" s="6">
        <v>9.57</v>
      </c>
      <c r="E104" s="8">
        <v>10</v>
      </c>
      <c r="F104" s="8">
        <v>80</v>
      </c>
      <c r="G104" s="38">
        <v>120</v>
      </c>
      <c r="H104" s="8">
        <v>1</v>
      </c>
      <c r="I104" s="38">
        <v>125</v>
      </c>
      <c r="J104" s="8">
        <v>8</v>
      </c>
      <c r="K104" s="38">
        <v>298</v>
      </c>
      <c r="L104" s="54" t="s">
        <v>310</v>
      </c>
      <c r="M104" s="48" t="s">
        <v>311</v>
      </c>
    </row>
    <row r="105" spans="1:13" ht="13.8">
      <c r="A105" s="5" t="s">
        <v>301</v>
      </c>
      <c r="B105" s="6" t="s">
        <v>283</v>
      </c>
      <c r="C105" s="7">
        <f t="shared" ref="C105:C106" si="13">ROUND(D105 * 6.022 * PI() * (0.74)^2 / 67.39, 2)</f>
        <v>3.47</v>
      </c>
      <c r="D105" s="6">
        <v>22.55</v>
      </c>
      <c r="E105" s="8">
        <v>275</v>
      </c>
      <c r="F105" s="8">
        <v>52.4</v>
      </c>
      <c r="G105" s="38">
        <v>120</v>
      </c>
      <c r="H105" s="8">
        <v>1.5</v>
      </c>
      <c r="I105" s="38">
        <v>125</v>
      </c>
      <c r="J105" s="8">
        <v>6</v>
      </c>
      <c r="K105" s="8">
        <v>298</v>
      </c>
      <c r="L105" s="54" t="s">
        <v>312</v>
      </c>
      <c r="M105" s="48" t="s">
        <v>313</v>
      </c>
    </row>
    <row r="106" spans="1:13" ht="13.8">
      <c r="A106" s="5" t="s">
        <v>301</v>
      </c>
      <c r="B106" s="6" t="s">
        <v>283</v>
      </c>
      <c r="C106" s="7">
        <f t="shared" si="13"/>
        <v>5.43</v>
      </c>
      <c r="D106" s="40">
        <v>35.299999999999997</v>
      </c>
      <c r="E106" s="8">
        <v>1</v>
      </c>
      <c r="F106" s="8">
        <v>90.3</v>
      </c>
      <c r="G106" s="38">
        <v>60</v>
      </c>
      <c r="H106" s="8">
        <v>0.02</v>
      </c>
      <c r="I106" s="38">
        <v>125</v>
      </c>
      <c r="J106" s="8">
        <v>7</v>
      </c>
      <c r="K106" s="8">
        <v>298</v>
      </c>
      <c r="L106" s="54" t="s">
        <v>314</v>
      </c>
      <c r="M106" s="48" t="s">
        <v>315</v>
      </c>
    </row>
    <row r="107" spans="1:13" ht="13.8">
      <c r="A107" s="5" t="s">
        <v>301</v>
      </c>
      <c r="B107" s="6" t="s">
        <v>258</v>
      </c>
      <c r="C107" s="7">
        <f t="shared" ref="C107:C109" si="14">ROUND(D107 * 6.022 * PI() * (0.69)^2 / 58.69, 2)</f>
        <v>2.83</v>
      </c>
      <c r="D107" s="6">
        <v>18.43</v>
      </c>
      <c r="E107" s="8">
        <v>100</v>
      </c>
      <c r="F107" s="38">
        <v>97</v>
      </c>
      <c r="G107" s="38">
        <v>120</v>
      </c>
      <c r="H107" s="8">
        <v>5</v>
      </c>
      <c r="I107" s="38">
        <v>125</v>
      </c>
      <c r="J107" s="8">
        <v>6.69</v>
      </c>
      <c r="K107" s="8">
        <v>298</v>
      </c>
      <c r="L107" s="54" t="s">
        <v>316</v>
      </c>
      <c r="M107" s="55" t="s">
        <v>317</v>
      </c>
    </row>
    <row r="108" spans="1:13" ht="13.8">
      <c r="A108" s="5" t="s">
        <v>301</v>
      </c>
      <c r="B108" s="6" t="s">
        <v>258</v>
      </c>
      <c r="C108" s="7">
        <f t="shared" si="14"/>
        <v>5.98</v>
      </c>
      <c r="D108" s="6">
        <v>38.979999999999997</v>
      </c>
      <c r="E108" s="8">
        <v>60</v>
      </c>
      <c r="F108" s="8">
        <v>69</v>
      </c>
      <c r="G108" s="38">
        <v>120</v>
      </c>
      <c r="H108" s="8">
        <v>0.1</v>
      </c>
      <c r="I108" s="38">
        <v>150</v>
      </c>
      <c r="J108" s="8">
        <v>6</v>
      </c>
      <c r="K108" s="8">
        <v>303</v>
      </c>
      <c r="L108" s="54" t="s">
        <v>318</v>
      </c>
      <c r="M108" s="48" t="s">
        <v>319</v>
      </c>
    </row>
    <row r="109" spans="1:13" ht="13.8">
      <c r="A109" s="5" t="s">
        <v>301</v>
      </c>
      <c r="B109" s="6" t="s">
        <v>258</v>
      </c>
      <c r="C109" s="7">
        <f t="shared" si="14"/>
        <v>5.42</v>
      </c>
      <c r="D109" s="6">
        <v>35.299999999999997</v>
      </c>
      <c r="E109" s="8">
        <v>100</v>
      </c>
      <c r="F109" s="8">
        <v>70</v>
      </c>
      <c r="G109" s="38">
        <v>30</v>
      </c>
      <c r="H109" s="8">
        <v>2.5</v>
      </c>
      <c r="I109" s="38">
        <v>150</v>
      </c>
      <c r="J109" s="8">
        <v>5</v>
      </c>
      <c r="K109" s="8">
        <v>298</v>
      </c>
      <c r="L109" s="54" t="s">
        <v>320</v>
      </c>
      <c r="M109" s="48" t="s">
        <v>321</v>
      </c>
    </row>
    <row r="110" spans="1:13" ht="13.8">
      <c r="A110" s="5" t="s">
        <v>301</v>
      </c>
      <c r="B110" s="6" t="s">
        <v>44</v>
      </c>
      <c r="C110" s="7">
        <f t="shared" ref="C110:C113" si="15">ROUND(D110 * 6.022 * PI() * (1.33)^2 / 207.2, 2)</f>
        <v>8.8800000000000008</v>
      </c>
      <c r="D110" s="6">
        <v>55</v>
      </c>
      <c r="E110" s="8">
        <v>500</v>
      </c>
      <c r="F110" s="8">
        <v>72</v>
      </c>
      <c r="G110" s="38">
        <v>15</v>
      </c>
      <c r="H110" s="38">
        <v>1</v>
      </c>
      <c r="I110" s="38">
        <v>125</v>
      </c>
      <c r="J110" s="38">
        <v>5</v>
      </c>
      <c r="K110" s="8">
        <v>298</v>
      </c>
      <c r="L110" s="54" t="s">
        <v>322</v>
      </c>
      <c r="M110" s="48" t="s">
        <v>323</v>
      </c>
    </row>
    <row r="111" spans="1:13" ht="13.8">
      <c r="A111" s="5" t="s">
        <v>301</v>
      </c>
      <c r="B111" s="6" t="s">
        <v>44</v>
      </c>
      <c r="C111" s="7">
        <f t="shared" si="15"/>
        <v>18.77</v>
      </c>
      <c r="D111" s="6">
        <v>116.2</v>
      </c>
      <c r="E111" s="8">
        <v>300</v>
      </c>
      <c r="F111" s="38">
        <v>98.1</v>
      </c>
      <c r="G111" s="38">
        <v>120</v>
      </c>
      <c r="H111" s="8">
        <v>2.5</v>
      </c>
      <c r="I111" s="38">
        <v>125</v>
      </c>
      <c r="J111" s="8">
        <v>5</v>
      </c>
      <c r="K111" s="8">
        <v>303</v>
      </c>
      <c r="L111" s="54" t="s">
        <v>308</v>
      </c>
      <c r="M111" s="48" t="s">
        <v>309</v>
      </c>
    </row>
    <row r="112" spans="1:13" ht="13.8">
      <c r="A112" s="5" t="s">
        <v>301</v>
      </c>
      <c r="B112" s="6" t="s">
        <v>44</v>
      </c>
      <c r="C112" s="7">
        <f t="shared" si="15"/>
        <v>5.7</v>
      </c>
      <c r="D112" s="40">
        <v>35.299999999999997</v>
      </c>
      <c r="E112" s="8">
        <v>5</v>
      </c>
      <c r="F112" s="8">
        <v>77.3</v>
      </c>
      <c r="G112" s="38">
        <v>60</v>
      </c>
      <c r="H112" s="8">
        <v>0.02</v>
      </c>
      <c r="I112" s="38">
        <v>125</v>
      </c>
      <c r="J112" s="8">
        <v>6</v>
      </c>
      <c r="K112" s="8">
        <v>298</v>
      </c>
      <c r="L112" s="54" t="s">
        <v>314</v>
      </c>
      <c r="M112" s="48" t="s">
        <v>315</v>
      </c>
    </row>
    <row r="113" spans="1:13" ht="13.8">
      <c r="A113" s="5" t="s">
        <v>301</v>
      </c>
      <c r="B113" s="6" t="s">
        <v>44</v>
      </c>
      <c r="C113" s="7">
        <f t="shared" si="15"/>
        <v>15.84</v>
      </c>
      <c r="D113" s="6">
        <v>98.06</v>
      </c>
      <c r="E113" s="8">
        <v>10</v>
      </c>
      <c r="F113" s="8">
        <v>99.9</v>
      </c>
      <c r="G113" s="38">
        <v>600</v>
      </c>
      <c r="H113" s="8">
        <v>0.5</v>
      </c>
      <c r="I113" s="38">
        <v>125</v>
      </c>
      <c r="J113" s="8">
        <v>6.8</v>
      </c>
      <c r="K113" s="8">
        <v>293</v>
      </c>
      <c r="L113" s="54" t="s">
        <v>306</v>
      </c>
      <c r="M113" s="48" t="s">
        <v>307</v>
      </c>
    </row>
    <row r="114" spans="1:13" ht="13.8">
      <c r="A114" s="5" t="s">
        <v>301</v>
      </c>
      <c r="B114" s="6" t="s">
        <v>110</v>
      </c>
      <c r="C114" s="7">
        <f>ROUND(D114 * 6.022 * 2.95 / 112.41, 2)</f>
        <v>10</v>
      </c>
      <c r="D114" s="6">
        <v>63.29</v>
      </c>
      <c r="E114" s="8">
        <v>125</v>
      </c>
      <c r="F114" s="38">
        <v>35</v>
      </c>
      <c r="G114" s="38">
        <v>30</v>
      </c>
      <c r="H114" s="8">
        <v>1.5</v>
      </c>
      <c r="I114" s="38">
        <v>150</v>
      </c>
      <c r="J114" s="8">
        <v>5</v>
      </c>
      <c r="K114" s="8">
        <v>298</v>
      </c>
      <c r="L114" s="54" t="s">
        <v>324</v>
      </c>
      <c r="M114" s="48" t="s">
        <v>321</v>
      </c>
    </row>
    <row r="115" spans="1:13" ht="13.8">
      <c r="A115" s="5" t="s">
        <v>301</v>
      </c>
      <c r="B115" s="6" t="s">
        <v>325</v>
      </c>
      <c r="C115" s="7">
        <f t="shared" ref="C115:C116" si="16">ROUND(D115 * 6.022 * PI() * (1.59)^2 / 204.38, 2)</f>
        <v>41.75</v>
      </c>
      <c r="D115" s="6">
        <v>178.4</v>
      </c>
      <c r="E115" s="8">
        <v>10.25</v>
      </c>
      <c r="F115" s="8">
        <v>98</v>
      </c>
      <c r="G115" s="38">
        <v>30</v>
      </c>
      <c r="H115" s="8">
        <v>10</v>
      </c>
      <c r="I115" s="38">
        <v>200</v>
      </c>
      <c r="J115" s="8">
        <v>11</v>
      </c>
      <c r="K115" s="8">
        <v>298</v>
      </c>
      <c r="L115" s="54" t="s">
        <v>326</v>
      </c>
      <c r="M115" s="48" t="s">
        <v>327</v>
      </c>
    </row>
    <row r="116" spans="1:13" ht="13.8">
      <c r="A116" s="5" t="s">
        <v>301</v>
      </c>
      <c r="B116" s="6" t="s">
        <v>325</v>
      </c>
      <c r="C116" s="7">
        <f t="shared" si="16"/>
        <v>262.8</v>
      </c>
      <c r="D116" s="6">
        <v>1123</v>
      </c>
      <c r="E116" s="8">
        <v>10.25</v>
      </c>
      <c r="F116" s="8">
        <v>98.5</v>
      </c>
      <c r="G116" s="38">
        <v>30</v>
      </c>
      <c r="H116" s="8">
        <v>2</v>
      </c>
      <c r="I116" s="38">
        <v>600</v>
      </c>
      <c r="J116" s="8">
        <v>9</v>
      </c>
      <c r="K116" s="8">
        <v>298</v>
      </c>
      <c r="L116" s="54" t="s">
        <v>328</v>
      </c>
      <c r="M116" s="48" t="s">
        <v>329</v>
      </c>
    </row>
    <row r="117" spans="1:13" ht="13.8">
      <c r="A117" s="5" t="s">
        <v>301</v>
      </c>
      <c r="B117" s="6" t="s">
        <v>330</v>
      </c>
      <c r="C117" s="7">
        <f>ROUND(D117 * 6.022 * PI() * (1.44)^2 / 74.92, 2)</f>
        <v>52.36</v>
      </c>
      <c r="D117" s="40">
        <v>100</v>
      </c>
      <c r="E117" s="8">
        <v>4</v>
      </c>
      <c r="F117" s="8">
        <v>99</v>
      </c>
      <c r="G117" s="38">
        <v>120</v>
      </c>
      <c r="H117" s="8">
        <v>1</v>
      </c>
      <c r="I117" s="38">
        <v>4000</v>
      </c>
      <c r="J117" s="8">
        <v>8.1999999999999993</v>
      </c>
      <c r="K117" s="8">
        <v>293</v>
      </c>
      <c r="L117" s="54" t="s">
        <v>331</v>
      </c>
      <c r="M117" s="48" t="s">
        <v>332</v>
      </c>
    </row>
    <row r="118" spans="1:13" ht="13.8">
      <c r="A118" s="5" t="s">
        <v>301</v>
      </c>
      <c r="B118" s="6" t="s">
        <v>333</v>
      </c>
      <c r="C118" s="7">
        <f>ROUND(D118 * 6.022 * PI() * (0.46)^2 / 74.92, 2)</f>
        <v>5.0199999999999996</v>
      </c>
      <c r="D118" s="40">
        <v>94</v>
      </c>
      <c r="E118" s="8">
        <v>5</v>
      </c>
      <c r="F118" s="8">
        <v>98</v>
      </c>
      <c r="G118" s="38">
        <v>120</v>
      </c>
      <c r="H118" s="8">
        <v>1</v>
      </c>
      <c r="I118" s="38">
        <v>4000</v>
      </c>
      <c r="J118" s="8">
        <v>4.5999999999999996</v>
      </c>
      <c r="K118" s="8">
        <v>293</v>
      </c>
      <c r="L118" s="54" t="s">
        <v>331</v>
      </c>
      <c r="M118" s="48" t="s">
        <v>332</v>
      </c>
    </row>
    <row r="119" spans="1:13" ht="13.8">
      <c r="A119" s="5" t="s">
        <v>301</v>
      </c>
      <c r="B119" s="6" t="s">
        <v>334</v>
      </c>
      <c r="C119" s="7">
        <f>ROUND(D119 * 6.022 * PI() * (0.77)^2 / 56, 2)</f>
        <v>1</v>
      </c>
      <c r="D119" s="6">
        <v>4.9800000000000004</v>
      </c>
      <c r="E119" s="8">
        <v>2.2000000000000002</v>
      </c>
      <c r="F119" s="8">
        <v>98.3</v>
      </c>
      <c r="G119" s="38">
        <v>45</v>
      </c>
      <c r="H119" s="8">
        <v>0.04</v>
      </c>
      <c r="I119" s="38">
        <v>125</v>
      </c>
      <c r="J119" s="8">
        <v>7</v>
      </c>
      <c r="K119" s="8">
        <v>298</v>
      </c>
      <c r="L119" s="54" t="s">
        <v>335</v>
      </c>
      <c r="M119" s="48" t="s">
        <v>336</v>
      </c>
    </row>
    <row r="120" spans="1:13" ht="13.8">
      <c r="A120" s="5" t="s">
        <v>301</v>
      </c>
      <c r="B120" s="6" t="s">
        <v>337</v>
      </c>
      <c r="C120" s="7">
        <f>ROUND(D120 * 6.022 * PI() * (0.82)^2 / 54.94, 2)</f>
        <v>0.32</v>
      </c>
      <c r="D120" s="6">
        <v>1.37</v>
      </c>
      <c r="E120" s="8">
        <v>0.7</v>
      </c>
      <c r="F120" s="8">
        <v>98.9</v>
      </c>
      <c r="G120" s="38">
        <v>45</v>
      </c>
      <c r="H120" s="8">
        <v>0.05</v>
      </c>
      <c r="I120" s="38">
        <v>125</v>
      </c>
      <c r="J120" s="8">
        <v>6</v>
      </c>
      <c r="K120" s="8">
        <v>298</v>
      </c>
      <c r="L120" s="54" t="s">
        <v>335</v>
      </c>
      <c r="M120" s="48" t="s">
        <v>336</v>
      </c>
    </row>
    <row r="121" spans="1:13" ht="13.8">
      <c r="A121" s="5" t="s">
        <v>301</v>
      </c>
      <c r="B121" s="6" t="s">
        <v>292</v>
      </c>
      <c r="C121" s="7">
        <f>ROUND(D121 * 6.022 * PI() * (0.72)^2 / 117.86, 2)</f>
        <v>1.94</v>
      </c>
      <c r="D121" s="6">
        <v>23.3</v>
      </c>
      <c r="E121" s="8">
        <v>50</v>
      </c>
      <c r="F121" s="8">
        <v>57</v>
      </c>
      <c r="G121" s="38">
        <v>30</v>
      </c>
      <c r="H121" s="8">
        <v>2</v>
      </c>
      <c r="I121" s="38">
        <v>150</v>
      </c>
      <c r="J121" s="8">
        <v>6</v>
      </c>
      <c r="K121" s="8">
        <v>298</v>
      </c>
      <c r="L121" s="59" t="s">
        <v>320</v>
      </c>
      <c r="M121" s="48" t="s">
        <v>321</v>
      </c>
    </row>
    <row r="122" spans="1:13" ht="13.8">
      <c r="A122" s="5" t="s">
        <v>338</v>
      </c>
      <c r="B122" s="6" t="s">
        <v>44</v>
      </c>
      <c r="C122" s="7">
        <f>ROUND(D122 * 6.022 * PI() * (1.33)^2 / 207.2, 2)</f>
        <v>4.62</v>
      </c>
      <c r="D122" s="6">
        <v>28.62</v>
      </c>
      <c r="E122" s="38">
        <v>50</v>
      </c>
      <c r="F122" s="8">
        <v>99</v>
      </c>
      <c r="G122" s="38">
        <v>50</v>
      </c>
      <c r="H122" s="38">
        <v>1</v>
      </c>
      <c r="I122" s="38">
        <v>200</v>
      </c>
      <c r="J122" s="8">
        <v>5</v>
      </c>
      <c r="K122" s="38">
        <v>298</v>
      </c>
      <c r="L122" s="59" t="s">
        <v>339</v>
      </c>
      <c r="M122" s="48" t="s">
        <v>340</v>
      </c>
    </row>
    <row r="123" spans="1:13" ht="13.8">
      <c r="A123" s="5" t="s">
        <v>341</v>
      </c>
      <c r="B123" s="6" t="s">
        <v>342</v>
      </c>
      <c r="C123" s="7">
        <f>ROUND(D123 * 6.022 * PI() * (0.44)^2 / 52, 2)</f>
        <v>4.37</v>
      </c>
      <c r="D123" s="6">
        <v>62.1</v>
      </c>
      <c r="E123" s="8">
        <v>60</v>
      </c>
      <c r="F123" s="8">
        <v>90</v>
      </c>
      <c r="G123" s="8">
        <v>120</v>
      </c>
      <c r="H123" s="8">
        <v>0.05</v>
      </c>
      <c r="I123" s="38">
        <v>200</v>
      </c>
      <c r="J123" s="8">
        <v>2</v>
      </c>
      <c r="K123" s="8">
        <v>298</v>
      </c>
      <c r="L123" s="54" t="s">
        <v>343</v>
      </c>
      <c r="M123" s="48" t="s">
        <v>344</v>
      </c>
    </row>
    <row r="124" spans="1:13" ht="13.8">
      <c r="A124" s="5" t="s">
        <v>345</v>
      </c>
      <c r="B124" s="6" t="s">
        <v>44</v>
      </c>
      <c r="C124" s="7">
        <f>ROUND(D124 * 6.022 * PI() * (1.33)^2 / 207.2, 2)</f>
        <v>20.45</v>
      </c>
      <c r="D124" s="6">
        <v>126.6</v>
      </c>
      <c r="E124" s="8">
        <v>5</v>
      </c>
      <c r="F124" s="8">
        <v>94</v>
      </c>
      <c r="G124" s="38">
        <v>50</v>
      </c>
      <c r="H124" s="8">
        <v>3</v>
      </c>
      <c r="I124" s="38">
        <v>200</v>
      </c>
      <c r="J124" s="8">
        <v>6.2</v>
      </c>
      <c r="K124" s="8">
        <v>323</v>
      </c>
      <c r="L124" s="54" t="s">
        <v>346</v>
      </c>
      <c r="M124" s="48" t="s">
        <v>347</v>
      </c>
    </row>
    <row r="125" spans="1:13" ht="13.8">
      <c r="A125" s="5" t="s">
        <v>348</v>
      </c>
      <c r="B125" s="6" t="s">
        <v>349</v>
      </c>
      <c r="C125" s="7">
        <f>ROUND(D125 * 6.022 * PI() * (1.1)^2 / 200.59, 2)</f>
        <v>31.56</v>
      </c>
      <c r="D125" s="6">
        <v>276.56</v>
      </c>
      <c r="E125" s="8">
        <v>50</v>
      </c>
      <c r="F125" s="8">
        <v>66.099999999999994</v>
      </c>
      <c r="G125" s="8">
        <v>20</v>
      </c>
      <c r="H125" s="8">
        <v>50</v>
      </c>
      <c r="I125" s="38">
        <v>200</v>
      </c>
      <c r="J125" s="8">
        <v>4</v>
      </c>
      <c r="K125" s="38">
        <v>298</v>
      </c>
      <c r="L125" s="54" t="s">
        <v>350</v>
      </c>
      <c r="M125" s="48" t="s">
        <v>351</v>
      </c>
    </row>
    <row r="126" spans="1:13" ht="13.8">
      <c r="A126" s="5" t="s">
        <v>352</v>
      </c>
      <c r="B126" s="6" t="s">
        <v>110</v>
      </c>
      <c r="C126" s="7">
        <f>ROUND(D126 * 6.022 * 2.95 / 112.41, 2)</f>
        <v>0.86</v>
      </c>
      <c r="D126" s="6">
        <v>5.46</v>
      </c>
      <c r="E126" s="8">
        <v>100</v>
      </c>
      <c r="F126" s="8">
        <v>95</v>
      </c>
      <c r="G126" s="38">
        <v>50</v>
      </c>
      <c r="H126" s="8">
        <v>2</v>
      </c>
      <c r="I126" s="38">
        <v>200</v>
      </c>
      <c r="J126" s="8">
        <v>8</v>
      </c>
      <c r="K126" s="8">
        <v>298</v>
      </c>
      <c r="L126" s="54" t="s">
        <v>353</v>
      </c>
      <c r="M126" s="48" t="s">
        <v>354</v>
      </c>
    </row>
    <row r="127" spans="1:13" ht="13.8">
      <c r="A127" s="5" t="s">
        <v>355</v>
      </c>
      <c r="B127" s="6" t="s">
        <v>342</v>
      </c>
      <c r="C127" s="7">
        <f t="shared" ref="C127:C128" si="17">ROUND(D127 * 6.022 * PI() * (0.44)^2 / 52, 2)</f>
        <v>11.94</v>
      </c>
      <c r="D127" s="6">
        <v>169.5</v>
      </c>
      <c r="E127" s="8">
        <v>50</v>
      </c>
      <c r="F127" s="8">
        <v>96</v>
      </c>
      <c r="G127" s="8">
        <v>90</v>
      </c>
      <c r="H127" s="8">
        <v>0.05</v>
      </c>
      <c r="I127" s="38">
        <v>200</v>
      </c>
      <c r="J127" s="8">
        <v>4</v>
      </c>
      <c r="K127" s="8">
        <v>298</v>
      </c>
      <c r="L127" s="54" t="s">
        <v>356</v>
      </c>
      <c r="M127" s="48" t="s">
        <v>357</v>
      </c>
    </row>
    <row r="128" spans="1:13" ht="13.8">
      <c r="A128" s="5" t="s">
        <v>358</v>
      </c>
      <c r="B128" s="6" t="s">
        <v>342</v>
      </c>
      <c r="C128" s="7">
        <f t="shared" si="17"/>
        <v>3.1</v>
      </c>
      <c r="D128" s="6">
        <v>44</v>
      </c>
      <c r="E128" s="38">
        <v>50</v>
      </c>
      <c r="F128" s="8">
        <v>90</v>
      </c>
      <c r="G128" s="38">
        <v>50</v>
      </c>
      <c r="H128" s="38">
        <v>1</v>
      </c>
      <c r="I128" s="38">
        <v>200</v>
      </c>
      <c r="J128" s="38">
        <v>5</v>
      </c>
      <c r="K128" s="38">
        <v>298</v>
      </c>
      <c r="L128" s="54" t="s">
        <v>359</v>
      </c>
      <c r="M128" s="48" t="s">
        <v>360</v>
      </c>
    </row>
    <row r="129" spans="1:13" ht="13.8">
      <c r="A129" s="5" t="s">
        <v>361</v>
      </c>
      <c r="B129" s="6" t="s">
        <v>44</v>
      </c>
      <c r="C129" s="7">
        <f>ROUND(D129 * 6.022 * PI() * (1.33)^2 / 207.2, 2)</f>
        <v>5.7</v>
      </c>
      <c r="D129" s="40">
        <v>35.299999999999997</v>
      </c>
      <c r="E129" s="8">
        <v>100</v>
      </c>
      <c r="F129" s="8">
        <v>92</v>
      </c>
      <c r="G129" s="8">
        <v>10</v>
      </c>
      <c r="H129" s="38">
        <v>1</v>
      </c>
      <c r="I129" s="38">
        <v>200</v>
      </c>
      <c r="J129" s="8">
        <v>6</v>
      </c>
      <c r="K129" s="8">
        <v>298</v>
      </c>
      <c r="L129" s="54" t="s">
        <v>362</v>
      </c>
      <c r="M129" s="48" t="s">
        <v>363</v>
      </c>
    </row>
    <row r="130" spans="1:13" ht="13.8">
      <c r="A130" s="5" t="s">
        <v>364</v>
      </c>
      <c r="B130" s="6" t="s">
        <v>342</v>
      </c>
      <c r="C130" s="7">
        <f>ROUND(D130 * 6.022 * PI() * (0.44)^2 / 52, 2)</f>
        <v>25.83</v>
      </c>
      <c r="D130" s="6">
        <v>366.7</v>
      </c>
      <c r="E130" s="38">
        <v>50</v>
      </c>
      <c r="F130" s="8">
        <v>97.25</v>
      </c>
      <c r="G130" s="8">
        <v>30</v>
      </c>
      <c r="H130" s="38">
        <v>1</v>
      </c>
      <c r="I130" s="38">
        <v>200</v>
      </c>
      <c r="J130" s="38">
        <v>5</v>
      </c>
      <c r="K130" s="38">
        <v>298</v>
      </c>
      <c r="L130" s="54" t="s">
        <v>365</v>
      </c>
      <c r="M130" s="48" t="s">
        <v>366</v>
      </c>
    </row>
    <row r="131" spans="1:13" ht="13.8">
      <c r="A131" s="5" t="s">
        <v>367</v>
      </c>
      <c r="B131" s="52" t="s">
        <v>200</v>
      </c>
      <c r="C131" s="7">
        <f>ROUND(D131 * 6.022 * PI() * (0.71)^2 / 63.55, 2)</f>
        <v>17.54</v>
      </c>
      <c r="D131" s="6">
        <f>(149.25+84.46)/2</f>
        <v>116.85499999999999</v>
      </c>
      <c r="E131" s="38">
        <v>50</v>
      </c>
      <c r="F131" s="8">
        <v>98.177000000000007</v>
      </c>
      <c r="G131" s="38">
        <v>120</v>
      </c>
      <c r="H131" s="8">
        <v>0.03</v>
      </c>
      <c r="I131" s="38">
        <v>200</v>
      </c>
      <c r="J131" s="8">
        <v>5.2</v>
      </c>
      <c r="K131" s="8">
        <v>298</v>
      </c>
      <c r="L131" s="54" t="s">
        <v>368</v>
      </c>
      <c r="M131" s="48" t="s">
        <v>369</v>
      </c>
    </row>
    <row r="132" spans="1:13" ht="13.8">
      <c r="A132" s="5" t="s">
        <v>370</v>
      </c>
      <c r="B132" s="6" t="s">
        <v>342</v>
      </c>
      <c r="C132" s="7">
        <f t="shared" ref="C132:C135" si="18">ROUND(D132 * 6.022 * PI() * (0.44)^2 / 52, 2)</f>
        <v>0.15</v>
      </c>
      <c r="D132" s="6">
        <v>2.1800000000000002</v>
      </c>
      <c r="E132" s="8">
        <v>20</v>
      </c>
      <c r="F132" s="8">
        <v>96</v>
      </c>
      <c r="G132" s="38">
        <v>1440</v>
      </c>
      <c r="H132" s="8">
        <v>24</v>
      </c>
      <c r="I132" s="38">
        <v>150</v>
      </c>
      <c r="J132" s="8">
        <v>6</v>
      </c>
      <c r="K132" s="38">
        <v>298</v>
      </c>
      <c r="L132" s="54" t="s">
        <v>371</v>
      </c>
      <c r="M132" s="60" t="s">
        <v>372</v>
      </c>
    </row>
    <row r="133" spans="1:13" ht="13.8">
      <c r="A133" s="5" t="s">
        <v>373</v>
      </c>
      <c r="B133" s="6" t="s">
        <v>342</v>
      </c>
      <c r="C133" s="7">
        <f t="shared" si="18"/>
        <v>0.26</v>
      </c>
      <c r="D133" s="6">
        <v>3.65</v>
      </c>
      <c r="E133" s="8">
        <v>20</v>
      </c>
      <c r="F133" s="8">
        <v>71</v>
      </c>
      <c r="G133" s="38">
        <v>1440</v>
      </c>
      <c r="H133" s="8">
        <v>18</v>
      </c>
      <c r="I133" s="38">
        <v>150</v>
      </c>
      <c r="J133" s="8">
        <v>4</v>
      </c>
      <c r="K133" s="38">
        <v>298</v>
      </c>
      <c r="L133" s="54" t="s">
        <v>371</v>
      </c>
      <c r="M133" s="40" t="s">
        <v>374</v>
      </c>
    </row>
    <row r="134" spans="1:13" ht="13.8">
      <c r="A134" s="5" t="s">
        <v>375</v>
      </c>
      <c r="B134" s="6" t="s">
        <v>342</v>
      </c>
      <c r="C134" s="7">
        <f t="shared" si="18"/>
        <v>0.28999999999999998</v>
      </c>
      <c r="D134" s="6">
        <v>4.05</v>
      </c>
      <c r="E134" s="8">
        <v>20</v>
      </c>
      <c r="F134" s="8">
        <v>93.4</v>
      </c>
      <c r="G134" s="38">
        <v>1440</v>
      </c>
      <c r="H134" s="8">
        <v>15</v>
      </c>
      <c r="I134" s="38">
        <v>150</v>
      </c>
      <c r="J134" s="8">
        <v>6</v>
      </c>
      <c r="K134" s="38">
        <v>298</v>
      </c>
      <c r="L134" s="54" t="s">
        <v>371</v>
      </c>
      <c r="M134" s="40" t="s">
        <v>376</v>
      </c>
    </row>
    <row r="135" spans="1:13" ht="13.8">
      <c r="A135" s="5" t="s">
        <v>377</v>
      </c>
      <c r="B135" s="6" t="s">
        <v>342</v>
      </c>
      <c r="C135" s="7">
        <f t="shared" si="18"/>
        <v>0.77</v>
      </c>
      <c r="D135" s="6">
        <v>10.88</v>
      </c>
      <c r="E135" s="8">
        <v>20</v>
      </c>
      <c r="F135" s="8">
        <v>99.6</v>
      </c>
      <c r="G135" s="38">
        <v>1440</v>
      </c>
      <c r="H135" s="8">
        <v>12</v>
      </c>
      <c r="I135" s="38">
        <v>150</v>
      </c>
      <c r="J135" s="8">
        <v>4</v>
      </c>
      <c r="K135" s="38">
        <v>298</v>
      </c>
      <c r="L135" s="54" t="s">
        <v>371</v>
      </c>
      <c r="M135" s="40" t="s">
        <v>378</v>
      </c>
    </row>
    <row r="136" spans="1:13" ht="15">
      <c r="A136" s="5" t="s">
        <v>379</v>
      </c>
      <c r="B136" s="6" t="s">
        <v>110</v>
      </c>
      <c r="C136" s="7">
        <f>ROUND(D136 * 6.022 * 2.95 / 112.41, 2)</f>
        <v>0.78</v>
      </c>
      <c r="D136" s="6">
        <v>4.9400000000000004</v>
      </c>
      <c r="E136" s="8">
        <v>28.1</v>
      </c>
      <c r="F136" s="8">
        <v>26.5</v>
      </c>
      <c r="G136" s="38">
        <v>1440</v>
      </c>
      <c r="H136" s="8">
        <v>5</v>
      </c>
      <c r="I136" s="38">
        <v>500</v>
      </c>
      <c r="J136" s="8">
        <v>2</v>
      </c>
      <c r="K136" s="38">
        <v>298</v>
      </c>
      <c r="L136" s="54" t="s">
        <v>380</v>
      </c>
      <c r="M136" s="61" t="s">
        <v>381</v>
      </c>
    </row>
    <row r="137" spans="1:13" ht="15">
      <c r="A137" s="5" t="s">
        <v>379</v>
      </c>
      <c r="B137" s="6" t="s">
        <v>13</v>
      </c>
      <c r="C137" s="7">
        <f>ROUND(D137 * 6.022 * PI() * (0.44)^2 / 52, 2)</f>
        <v>0.18</v>
      </c>
      <c r="D137" s="6">
        <v>2.52</v>
      </c>
      <c r="E137" s="8">
        <v>13</v>
      </c>
      <c r="F137" s="8">
        <v>99.1</v>
      </c>
      <c r="G137" s="38">
        <v>1440</v>
      </c>
      <c r="H137" s="8">
        <v>5</v>
      </c>
      <c r="I137" s="38">
        <v>500</v>
      </c>
      <c r="J137" s="8">
        <v>2</v>
      </c>
      <c r="K137" s="38">
        <v>298</v>
      </c>
      <c r="L137" s="54" t="s">
        <v>380</v>
      </c>
      <c r="M137" s="62" t="s">
        <v>382</v>
      </c>
    </row>
    <row r="138" spans="1:13" ht="15">
      <c r="A138" s="5" t="s">
        <v>379</v>
      </c>
      <c r="B138" s="52" t="s">
        <v>200</v>
      </c>
      <c r="C138" s="7">
        <f>ROUND(D138 * 6.022 * PI() * (0.71)^2 / 63.55, 2)</f>
        <v>0.43</v>
      </c>
      <c r="D138" s="6">
        <v>2.87</v>
      </c>
      <c r="E138" s="8">
        <v>15.88</v>
      </c>
      <c r="F138" s="8">
        <v>58</v>
      </c>
      <c r="G138" s="38">
        <v>1440</v>
      </c>
      <c r="H138" s="8">
        <v>5</v>
      </c>
      <c r="I138" s="38">
        <v>500</v>
      </c>
      <c r="J138" s="8">
        <v>2</v>
      </c>
      <c r="K138" s="38">
        <v>298</v>
      </c>
      <c r="L138" s="54" t="s">
        <v>380</v>
      </c>
      <c r="M138" s="62" t="s">
        <v>383</v>
      </c>
    </row>
    <row r="139" spans="1:13" ht="15">
      <c r="A139" s="5" t="s">
        <v>379</v>
      </c>
      <c r="B139" s="6" t="s">
        <v>258</v>
      </c>
      <c r="C139" s="7">
        <f>ROUND(D139 * 6.022 * PI() * (0.69)^2 / 58.69, 2)</f>
        <v>0.4</v>
      </c>
      <c r="D139" s="6">
        <v>2.63</v>
      </c>
      <c r="E139" s="8">
        <v>14.68</v>
      </c>
      <c r="F139" s="8">
        <v>99.253</v>
      </c>
      <c r="G139" s="38">
        <v>1440</v>
      </c>
      <c r="H139" s="8">
        <v>5</v>
      </c>
      <c r="I139" s="38">
        <v>500</v>
      </c>
      <c r="J139" s="8">
        <v>2</v>
      </c>
      <c r="K139" s="38">
        <v>298</v>
      </c>
      <c r="L139" s="54" t="s">
        <v>380</v>
      </c>
      <c r="M139" s="62" t="s">
        <v>384</v>
      </c>
    </row>
    <row r="140" spans="1:13" ht="15">
      <c r="A140" s="5" t="s">
        <v>379</v>
      </c>
      <c r="B140" s="6" t="s">
        <v>283</v>
      </c>
      <c r="C140" s="7">
        <f>ROUND(D140 * 6.022 * PI() * (0.74)^2 / 67.39, 2)</f>
        <v>0.45</v>
      </c>
      <c r="D140" s="6">
        <v>2.92</v>
      </c>
      <c r="E140" s="8">
        <v>16.350000000000001</v>
      </c>
      <c r="F140" s="8">
        <v>95</v>
      </c>
      <c r="G140" s="38">
        <v>1440</v>
      </c>
      <c r="H140" s="8">
        <v>5</v>
      </c>
      <c r="I140" s="38">
        <v>500</v>
      </c>
      <c r="J140" s="8">
        <v>2</v>
      </c>
      <c r="K140" s="38">
        <v>298</v>
      </c>
      <c r="L140" s="54" t="s">
        <v>380</v>
      </c>
      <c r="M140" s="62" t="s">
        <v>385</v>
      </c>
    </row>
    <row r="141" spans="1:13" ht="15">
      <c r="A141" s="5" t="s">
        <v>386</v>
      </c>
      <c r="B141" s="52" t="s">
        <v>200</v>
      </c>
      <c r="C141" s="7">
        <f>ROUND(D141 * 6.022 * PI() * (0.71)^2 / 63.55, 2)</f>
        <v>14.26</v>
      </c>
      <c r="D141" s="6">
        <v>95</v>
      </c>
      <c r="E141" s="8">
        <v>500</v>
      </c>
      <c r="F141" s="8">
        <v>96.953999999999994</v>
      </c>
      <c r="G141" s="38">
        <v>30</v>
      </c>
      <c r="H141" s="8">
        <v>1</v>
      </c>
      <c r="I141" s="38">
        <v>125</v>
      </c>
      <c r="J141" s="8">
        <v>3.6</v>
      </c>
      <c r="K141" s="38">
        <v>298</v>
      </c>
      <c r="L141" s="54" t="s">
        <v>387</v>
      </c>
      <c r="M141" s="61" t="s">
        <v>388</v>
      </c>
    </row>
    <row r="142" spans="1:13" ht="15">
      <c r="A142" s="5" t="s">
        <v>389</v>
      </c>
      <c r="B142" s="6" t="s">
        <v>258</v>
      </c>
      <c r="C142" s="7">
        <f t="shared" ref="C142:C143" si="19">ROUND(D142 * 6.022 * PI() * (0.69)^2 / 58.69, 2)</f>
        <v>8.34</v>
      </c>
      <c r="D142" s="6">
        <v>54.35</v>
      </c>
      <c r="E142" s="8">
        <v>70</v>
      </c>
      <c r="F142" s="8">
        <v>97.5</v>
      </c>
      <c r="G142" s="38">
        <v>720</v>
      </c>
      <c r="H142" s="8">
        <v>1</v>
      </c>
      <c r="I142" s="38">
        <v>300</v>
      </c>
      <c r="J142" s="8">
        <v>5</v>
      </c>
      <c r="K142" s="38">
        <v>298</v>
      </c>
      <c r="L142" s="54" t="s">
        <v>390</v>
      </c>
      <c r="M142" s="61" t="s">
        <v>391</v>
      </c>
    </row>
    <row r="143" spans="1:13" ht="15">
      <c r="A143" s="5" t="s">
        <v>392</v>
      </c>
      <c r="B143" s="6" t="s">
        <v>258</v>
      </c>
      <c r="C143" s="7">
        <f t="shared" si="19"/>
        <v>0.92</v>
      </c>
      <c r="D143" s="6">
        <v>6.01</v>
      </c>
      <c r="E143" s="8">
        <v>25</v>
      </c>
      <c r="F143" s="8">
        <v>88</v>
      </c>
      <c r="G143" s="38">
        <v>1440</v>
      </c>
      <c r="H143" s="8">
        <v>1</v>
      </c>
      <c r="I143" s="38">
        <v>180</v>
      </c>
      <c r="J143" s="8">
        <v>7</v>
      </c>
      <c r="K143" s="38">
        <v>298</v>
      </c>
      <c r="L143" s="54" t="s">
        <v>393</v>
      </c>
      <c r="M143" s="61" t="s">
        <v>394</v>
      </c>
    </row>
    <row r="144" spans="1:13" ht="15">
      <c r="A144" s="5" t="s">
        <v>392</v>
      </c>
      <c r="B144" s="52" t="s">
        <v>200</v>
      </c>
      <c r="C144" s="7">
        <f>ROUND(D144 * 6.022 * PI() * (0.71)^2 / 63.55, 2)</f>
        <v>0.55000000000000004</v>
      </c>
      <c r="D144" s="6">
        <v>3.65</v>
      </c>
      <c r="E144" s="8">
        <v>25</v>
      </c>
      <c r="F144" s="8">
        <v>99</v>
      </c>
      <c r="G144" s="38">
        <v>1440</v>
      </c>
      <c r="H144" s="8">
        <v>1</v>
      </c>
      <c r="I144" s="38">
        <v>180</v>
      </c>
      <c r="J144" s="8">
        <v>7</v>
      </c>
      <c r="K144" s="38">
        <v>298</v>
      </c>
      <c r="L144" s="54" t="s">
        <v>393</v>
      </c>
      <c r="M144" s="61" t="s">
        <v>394</v>
      </c>
    </row>
    <row r="145" spans="1:18" ht="15">
      <c r="A145" s="5" t="s">
        <v>392</v>
      </c>
      <c r="B145" s="6" t="s">
        <v>283</v>
      </c>
      <c r="C145" s="7">
        <f>ROUND(D145 * 6.022 * PI() * (0.74)^2 / 67.39, 2)</f>
        <v>0.81</v>
      </c>
      <c r="D145" s="6">
        <v>5.25</v>
      </c>
      <c r="E145" s="8">
        <v>25</v>
      </c>
      <c r="F145" s="8">
        <v>100</v>
      </c>
      <c r="G145" s="38">
        <v>1440</v>
      </c>
      <c r="H145" s="8">
        <v>1</v>
      </c>
      <c r="I145" s="38">
        <v>180</v>
      </c>
      <c r="J145" s="8">
        <v>7</v>
      </c>
      <c r="K145" s="38">
        <v>298</v>
      </c>
      <c r="L145" s="54" t="s">
        <v>393</v>
      </c>
      <c r="M145" s="61" t="s">
        <v>394</v>
      </c>
    </row>
    <row r="146" spans="1:18" ht="15">
      <c r="A146" s="5" t="s">
        <v>254</v>
      </c>
      <c r="B146" s="6" t="s">
        <v>342</v>
      </c>
      <c r="C146" s="7">
        <f t="shared" ref="C146:C147" si="20">ROUND(D146 * 6.022 * PI() * (0.44)^2 / 52, 2)</f>
        <v>1.1100000000000001</v>
      </c>
      <c r="D146" s="6">
        <v>15.82</v>
      </c>
      <c r="E146" s="8">
        <v>100</v>
      </c>
      <c r="F146" s="8">
        <v>99</v>
      </c>
      <c r="G146" s="38">
        <v>120</v>
      </c>
      <c r="H146" s="8">
        <v>2.4</v>
      </c>
      <c r="I146" s="38">
        <v>125</v>
      </c>
      <c r="J146" s="8">
        <v>2</v>
      </c>
      <c r="K146" s="38">
        <v>298</v>
      </c>
      <c r="L146" s="54" t="s">
        <v>395</v>
      </c>
      <c r="M146" s="61" t="s">
        <v>396</v>
      </c>
    </row>
    <row r="147" spans="1:18" ht="15">
      <c r="A147" s="5" t="s">
        <v>397</v>
      </c>
      <c r="B147" s="6" t="s">
        <v>342</v>
      </c>
      <c r="C147" s="7">
        <f t="shared" si="20"/>
        <v>0.36</v>
      </c>
      <c r="D147" s="6">
        <v>5.0999999999999996</v>
      </c>
      <c r="E147" s="8">
        <v>10</v>
      </c>
      <c r="F147" s="8">
        <v>90.3</v>
      </c>
      <c r="G147" s="38">
        <v>5</v>
      </c>
      <c r="H147" s="8">
        <v>50</v>
      </c>
      <c r="I147" s="38">
        <v>3000</v>
      </c>
      <c r="J147" s="8">
        <v>5</v>
      </c>
      <c r="K147" s="38">
        <v>298</v>
      </c>
      <c r="L147" s="54" t="s">
        <v>398</v>
      </c>
      <c r="M147" s="61" t="s">
        <v>399</v>
      </c>
    </row>
    <row r="148" spans="1:18" ht="15">
      <c r="A148" s="5" t="s">
        <v>400</v>
      </c>
      <c r="B148" s="6" t="s">
        <v>283</v>
      </c>
      <c r="C148" s="7">
        <f>ROUND(D148 * 6.022 * PI() * (0.74)^2 / 67.39, 2)</f>
        <v>2.14</v>
      </c>
      <c r="D148" s="6">
        <v>13.9</v>
      </c>
      <c r="E148" s="8">
        <v>32.700000000000003</v>
      </c>
      <c r="F148" s="8">
        <v>99</v>
      </c>
      <c r="G148" s="38">
        <v>1440</v>
      </c>
      <c r="H148" s="8">
        <v>10</v>
      </c>
      <c r="I148" s="38">
        <v>500</v>
      </c>
      <c r="J148" s="38">
        <v>4.8</v>
      </c>
      <c r="K148" s="38">
        <v>298</v>
      </c>
      <c r="L148" s="54" t="s">
        <v>401</v>
      </c>
      <c r="M148" s="61" t="s">
        <v>402</v>
      </c>
    </row>
    <row r="149" spans="1:18" ht="15">
      <c r="A149" s="63" t="s">
        <v>119</v>
      </c>
      <c r="B149" s="64" t="s">
        <v>403</v>
      </c>
      <c r="C149" s="24">
        <f>ROUND(253 * 6.022 * 2.95 / 112.41, 2)</f>
        <v>39.979999999999997</v>
      </c>
      <c r="D149" s="65" t="s">
        <v>404</v>
      </c>
      <c r="E149" s="64">
        <v>100</v>
      </c>
      <c r="F149" s="64">
        <v>70</v>
      </c>
      <c r="G149" s="64">
        <v>2880</v>
      </c>
      <c r="H149" s="66">
        <v>1</v>
      </c>
      <c r="I149" s="67">
        <v>180</v>
      </c>
      <c r="J149" s="64">
        <v>6.25</v>
      </c>
      <c r="K149" s="65">
        <v>298</v>
      </c>
      <c r="L149" s="64" t="s">
        <v>120</v>
      </c>
      <c r="M149" s="33" t="s">
        <v>405</v>
      </c>
    </row>
    <row r="150" spans="1:18" ht="15">
      <c r="A150" s="63" t="s">
        <v>122</v>
      </c>
      <c r="B150" s="64" t="s">
        <v>403</v>
      </c>
      <c r="C150" s="7">
        <f t="shared" ref="C150:C151" si="21">ROUND(D150 * 6.022 * PI() * (0.69)^2 / 58.69, 2)</f>
        <v>30.88</v>
      </c>
      <c r="D150" s="64">
        <v>201.2</v>
      </c>
      <c r="E150" s="68">
        <v>1000</v>
      </c>
      <c r="F150" s="64">
        <v>93</v>
      </c>
      <c r="G150" s="64">
        <v>90</v>
      </c>
      <c r="H150" s="64">
        <v>0.04</v>
      </c>
      <c r="I150" s="67">
        <v>180</v>
      </c>
      <c r="J150" s="64">
        <v>6</v>
      </c>
      <c r="K150" s="65">
        <v>298</v>
      </c>
      <c r="L150" s="64" t="s">
        <v>123</v>
      </c>
      <c r="M150" s="33" t="s">
        <v>406</v>
      </c>
    </row>
    <row r="151" spans="1:18" ht="15">
      <c r="A151" s="63" t="s">
        <v>407</v>
      </c>
      <c r="B151" s="64" t="s">
        <v>403</v>
      </c>
      <c r="C151" s="7">
        <f t="shared" si="21"/>
        <v>38.08</v>
      </c>
      <c r="D151" s="64">
        <v>248.1</v>
      </c>
      <c r="E151" s="64">
        <v>525</v>
      </c>
      <c r="F151" s="64">
        <v>72</v>
      </c>
      <c r="G151" s="64">
        <v>120</v>
      </c>
      <c r="H151" s="64">
        <v>1</v>
      </c>
      <c r="I151" s="67">
        <v>180</v>
      </c>
      <c r="J151" s="64">
        <v>5</v>
      </c>
      <c r="K151" s="65">
        <v>298</v>
      </c>
      <c r="L151" s="64" t="s">
        <v>408</v>
      </c>
      <c r="M151" s="33" t="s">
        <v>409</v>
      </c>
    </row>
    <row r="152" spans="1:18" ht="15">
      <c r="A152" s="63" t="s">
        <v>125</v>
      </c>
      <c r="B152" s="64" t="s">
        <v>403</v>
      </c>
      <c r="C152" s="7">
        <f>ROUND(D152 * 6.022 * 2.95 / 112.41, 2)</f>
        <v>14.54</v>
      </c>
      <c r="D152" s="64">
        <v>92</v>
      </c>
      <c r="E152" s="64">
        <v>300</v>
      </c>
      <c r="F152" s="64">
        <v>92</v>
      </c>
      <c r="G152" s="64">
        <v>90</v>
      </c>
      <c r="H152" s="64">
        <v>5</v>
      </c>
      <c r="I152" s="67">
        <v>180</v>
      </c>
      <c r="J152" s="64">
        <v>5.6</v>
      </c>
      <c r="K152" s="65">
        <v>298</v>
      </c>
      <c r="L152" s="64" t="s">
        <v>126</v>
      </c>
      <c r="M152" s="33" t="s">
        <v>410</v>
      </c>
    </row>
    <row r="153" spans="1:18" ht="15">
      <c r="A153" s="63" t="s">
        <v>128</v>
      </c>
      <c r="B153" s="64" t="s">
        <v>403</v>
      </c>
      <c r="C153" s="7">
        <f>ROUND(D153 * 6.022 * PI() * (0.69)^2 / 58.69, 2)</f>
        <v>22.25</v>
      </c>
      <c r="D153" s="64">
        <v>145</v>
      </c>
      <c r="E153" s="64" t="s">
        <v>411</v>
      </c>
      <c r="F153" s="64">
        <v>99.6</v>
      </c>
      <c r="G153" s="64">
        <v>120</v>
      </c>
      <c r="H153" s="64">
        <v>4.5</v>
      </c>
      <c r="I153" s="67">
        <v>180</v>
      </c>
      <c r="J153" s="64">
        <v>6</v>
      </c>
      <c r="K153" s="65">
        <v>298</v>
      </c>
      <c r="L153" s="64" t="s">
        <v>129</v>
      </c>
      <c r="M153" s="33" t="s">
        <v>412</v>
      </c>
    </row>
    <row r="154" spans="1:18" ht="15">
      <c r="A154" s="63" t="s">
        <v>131</v>
      </c>
      <c r="B154" s="64" t="s">
        <v>403</v>
      </c>
      <c r="C154" s="7">
        <f>ROUND(D154 * 6.022 * 2.95 / 112.41, 2)</f>
        <v>5.58</v>
      </c>
      <c r="D154" s="65">
        <v>35.299999999999997</v>
      </c>
      <c r="E154" s="69">
        <v>674.46</v>
      </c>
      <c r="F154" s="64">
        <v>95</v>
      </c>
      <c r="G154" s="64">
        <v>1440</v>
      </c>
      <c r="H154" s="64">
        <v>1</v>
      </c>
      <c r="I154" s="9">
        <v>125</v>
      </c>
      <c r="J154" s="64">
        <v>10</v>
      </c>
      <c r="K154" s="65">
        <v>298</v>
      </c>
      <c r="L154" s="64" t="s">
        <v>132</v>
      </c>
      <c r="M154" s="33" t="s">
        <v>413</v>
      </c>
    </row>
    <row r="155" spans="1:18" ht="15">
      <c r="A155" s="70" t="s">
        <v>19</v>
      </c>
      <c r="B155" s="67" t="s">
        <v>414</v>
      </c>
      <c r="C155" s="7">
        <f t="shared" ref="C155:C158" si="22">ROUND(D155 * 6.022 * PI() * (0.69)^2 / 58.69, 2)</f>
        <v>12.65</v>
      </c>
      <c r="D155" s="67">
        <v>82.4</v>
      </c>
      <c r="E155" s="65">
        <v>50</v>
      </c>
      <c r="F155" s="67">
        <v>93</v>
      </c>
      <c r="G155" s="67">
        <v>45</v>
      </c>
      <c r="H155" s="66">
        <v>1</v>
      </c>
      <c r="I155" s="71">
        <v>160</v>
      </c>
      <c r="J155" s="67">
        <v>1.1000000000000001</v>
      </c>
      <c r="K155" s="65">
        <v>298</v>
      </c>
      <c r="L155" s="72" t="s">
        <v>415</v>
      </c>
      <c r="M155" s="33" t="s">
        <v>416</v>
      </c>
    </row>
    <row r="156" spans="1:18" ht="15">
      <c r="A156" s="70" t="s">
        <v>417</v>
      </c>
      <c r="B156" s="67" t="s">
        <v>414</v>
      </c>
      <c r="C156" s="7">
        <f t="shared" si="22"/>
        <v>438.83</v>
      </c>
      <c r="D156" s="67">
        <v>2859.38</v>
      </c>
      <c r="E156" s="67">
        <v>14</v>
      </c>
      <c r="F156" s="73" t="s">
        <v>418</v>
      </c>
      <c r="G156" s="67">
        <v>90</v>
      </c>
      <c r="H156" s="73" t="s">
        <v>419</v>
      </c>
      <c r="I156" s="9">
        <v>125</v>
      </c>
      <c r="J156" s="67">
        <v>1.5</v>
      </c>
      <c r="K156" s="65">
        <v>298</v>
      </c>
      <c r="L156" s="72" t="s">
        <v>415</v>
      </c>
      <c r="M156" s="33" t="s">
        <v>420</v>
      </c>
      <c r="N156" s="74"/>
    </row>
    <row r="157" spans="1:18" ht="15">
      <c r="A157" s="70" t="s">
        <v>421</v>
      </c>
      <c r="B157" s="67" t="s">
        <v>414</v>
      </c>
      <c r="C157" s="7">
        <f t="shared" si="22"/>
        <v>3.31</v>
      </c>
      <c r="D157" s="67">
        <v>21.57</v>
      </c>
      <c r="E157" s="67">
        <v>50</v>
      </c>
      <c r="F157" s="67">
        <v>98.2</v>
      </c>
      <c r="G157" s="67">
        <v>60</v>
      </c>
      <c r="H157" s="67">
        <v>400</v>
      </c>
      <c r="I157" s="73">
        <v>150</v>
      </c>
      <c r="J157" s="67">
        <v>2</v>
      </c>
      <c r="K157" s="65">
        <v>298</v>
      </c>
      <c r="L157" s="75" t="s">
        <v>415</v>
      </c>
      <c r="M157" s="33" t="s">
        <v>422</v>
      </c>
      <c r="N157" s="74"/>
      <c r="O157" s="74"/>
      <c r="P157" s="74"/>
    </row>
    <row r="158" spans="1:18" ht="15">
      <c r="A158" s="70" t="s">
        <v>31</v>
      </c>
      <c r="B158" s="67" t="s">
        <v>414</v>
      </c>
      <c r="C158" s="7">
        <f t="shared" si="22"/>
        <v>15.53</v>
      </c>
      <c r="D158" s="67">
        <v>101.2</v>
      </c>
      <c r="E158" s="67">
        <v>30</v>
      </c>
      <c r="F158" s="67">
        <v>80</v>
      </c>
      <c r="G158" s="67">
        <v>420</v>
      </c>
      <c r="H158" s="67">
        <v>0.6</v>
      </c>
      <c r="I158" s="9">
        <v>125</v>
      </c>
      <c r="J158" s="67">
        <v>2</v>
      </c>
      <c r="K158" s="65">
        <v>298</v>
      </c>
      <c r="L158" s="75" t="s">
        <v>415</v>
      </c>
      <c r="M158" s="76" t="s">
        <v>423</v>
      </c>
      <c r="O158" s="74"/>
      <c r="P158" s="74"/>
      <c r="Q158" s="74"/>
    </row>
    <row r="159" spans="1:18" ht="15">
      <c r="A159" s="70" t="s">
        <v>424</v>
      </c>
      <c r="B159" s="67" t="s">
        <v>414</v>
      </c>
      <c r="C159" s="7">
        <f>ROUND(D159 * 6.022 * PI() * (0.44)^2 / 52, 2)</f>
        <v>2.4900000000000002</v>
      </c>
      <c r="D159" s="65">
        <v>35.299999999999997</v>
      </c>
      <c r="E159" s="67">
        <v>60</v>
      </c>
      <c r="F159" s="67">
        <v>100</v>
      </c>
      <c r="G159" s="67">
        <v>240</v>
      </c>
      <c r="H159" s="67">
        <v>5</v>
      </c>
      <c r="I159" s="9">
        <v>125</v>
      </c>
      <c r="J159" s="67">
        <v>2</v>
      </c>
      <c r="K159" s="65">
        <v>298</v>
      </c>
      <c r="L159" s="75" t="s">
        <v>415</v>
      </c>
      <c r="M159" s="77" t="s">
        <v>425</v>
      </c>
      <c r="O159" s="74"/>
      <c r="P159" s="74"/>
      <c r="Q159" s="74"/>
      <c r="R159" s="74"/>
    </row>
    <row r="160" spans="1:18" ht="15">
      <c r="A160" s="70" t="s">
        <v>426</v>
      </c>
      <c r="B160" s="67" t="s">
        <v>414</v>
      </c>
      <c r="C160" s="7">
        <f>ROUND(D160 * 6.022 * PI() * (0.69)^2 / 58.69, 2)</f>
        <v>17.239999999999998</v>
      </c>
      <c r="D160" s="67">
        <v>112.36</v>
      </c>
      <c r="E160" s="67">
        <v>125</v>
      </c>
      <c r="F160" s="67">
        <v>98</v>
      </c>
      <c r="G160" s="67">
        <v>40</v>
      </c>
      <c r="H160" s="67">
        <v>2</v>
      </c>
      <c r="I160" s="9">
        <v>125</v>
      </c>
      <c r="J160" s="67">
        <v>1</v>
      </c>
      <c r="K160" s="65">
        <v>298</v>
      </c>
      <c r="L160" s="75" t="s">
        <v>415</v>
      </c>
      <c r="M160" s="33" t="s">
        <v>427</v>
      </c>
      <c r="O160" s="74"/>
      <c r="P160" s="74"/>
      <c r="Q160" s="74"/>
      <c r="R160" s="74"/>
    </row>
    <row r="161" spans="1:22" ht="15">
      <c r="A161" s="70" t="s">
        <v>428</v>
      </c>
      <c r="B161" s="67" t="s">
        <v>414</v>
      </c>
      <c r="C161" s="7">
        <f>ROUND(D161 * 6.022 * PI() * (0.44)^2 / 52, 2)</f>
        <v>1.97</v>
      </c>
      <c r="D161" s="73">
        <v>28.018999999999998</v>
      </c>
      <c r="E161" s="67">
        <v>30</v>
      </c>
      <c r="F161" s="67">
        <v>28</v>
      </c>
      <c r="G161" s="73" t="s">
        <v>429</v>
      </c>
      <c r="H161" s="67">
        <v>2</v>
      </c>
      <c r="I161" s="73" t="s">
        <v>430</v>
      </c>
      <c r="J161" s="73" t="s">
        <v>431</v>
      </c>
      <c r="K161" s="65">
        <v>298</v>
      </c>
      <c r="L161" s="75" t="s">
        <v>415</v>
      </c>
      <c r="M161" s="33" t="s">
        <v>432</v>
      </c>
      <c r="Q161" s="74"/>
      <c r="R161" s="74"/>
      <c r="S161" s="74"/>
    </row>
    <row r="162" spans="1:22" ht="15">
      <c r="A162" s="70" t="s">
        <v>433</v>
      </c>
      <c r="B162" s="67" t="s">
        <v>414</v>
      </c>
      <c r="C162" s="7">
        <f t="shared" ref="C162:C166" si="23">ROUND(D162 * 6.022 * PI() * (0.69)^2 / 58.69, 2)</f>
        <v>10.130000000000001</v>
      </c>
      <c r="D162" s="67">
        <v>66</v>
      </c>
      <c r="E162" s="67">
        <f>(75+5)/2</f>
        <v>40</v>
      </c>
      <c r="F162" s="67">
        <v>100</v>
      </c>
      <c r="G162" s="67">
        <v>120</v>
      </c>
      <c r="H162" s="67">
        <v>6.5</v>
      </c>
      <c r="I162" s="73">
        <v>200</v>
      </c>
      <c r="J162" s="67">
        <v>1</v>
      </c>
      <c r="K162" s="65">
        <v>298</v>
      </c>
      <c r="L162" s="75" t="s">
        <v>415</v>
      </c>
      <c r="M162" s="33" t="s">
        <v>434</v>
      </c>
      <c r="R162" s="74"/>
      <c r="S162" s="74"/>
    </row>
    <row r="163" spans="1:22" ht="15">
      <c r="A163" s="70" t="s">
        <v>435</v>
      </c>
      <c r="B163" s="67" t="s">
        <v>414</v>
      </c>
      <c r="C163" s="7">
        <f t="shared" si="23"/>
        <v>0.41</v>
      </c>
      <c r="D163" s="67">
        <v>2.7</v>
      </c>
      <c r="E163" s="67">
        <v>30</v>
      </c>
      <c r="F163" s="67">
        <v>84.8</v>
      </c>
      <c r="G163" s="67">
        <v>48</v>
      </c>
      <c r="H163" s="67">
        <v>0.8</v>
      </c>
      <c r="I163" s="9">
        <v>125</v>
      </c>
      <c r="J163" s="67">
        <v>2.5</v>
      </c>
      <c r="K163" s="65">
        <v>298</v>
      </c>
      <c r="L163" s="75" t="s">
        <v>415</v>
      </c>
      <c r="M163" s="33" t="s">
        <v>436</v>
      </c>
      <c r="R163" s="74"/>
      <c r="S163" s="74"/>
    </row>
    <row r="164" spans="1:22" ht="15">
      <c r="A164" s="70" t="s">
        <v>437</v>
      </c>
      <c r="B164" s="67" t="s">
        <v>414</v>
      </c>
      <c r="C164" s="7">
        <f t="shared" si="23"/>
        <v>15.44</v>
      </c>
      <c r="D164" s="73">
        <v>100.6</v>
      </c>
      <c r="E164" s="67">
        <v>75</v>
      </c>
      <c r="F164" s="67">
        <v>98</v>
      </c>
      <c r="G164" s="67">
        <v>31.4</v>
      </c>
      <c r="H164" s="66">
        <v>1</v>
      </c>
      <c r="I164" s="73">
        <v>160</v>
      </c>
      <c r="J164" s="67">
        <v>5.5</v>
      </c>
      <c r="K164" s="65">
        <v>298</v>
      </c>
      <c r="L164" s="75" t="s">
        <v>415</v>
      </c>
      <c r="M164" s="33" t="s">
        <v>438</v>
      </c>
      <c r="S164" s="74"/>
    </row>
    <row r="165" spans="1:22" ht="15">
      <c r="A165" s="70" t="s">
        <v>439</v>
      </c>
      <c r="B165" s="67" t="s">
        <v>414</v>
      </c>
      <c r="C165" s="7">
        <f t="shared" si="23"/>
        <v>40.590000000000003</v>
      </c>
      <c r="D165" s="67">
        <v>264.5</v>
      </c>
      <c r="E165" s="67">
        <v>100</v>
      </c>
      <c r="F165" s="67">
        <v>95</v>
      </c>
      <c r="G165" s="67">
        <v>240</v>
      </c>
      <c r="H165" s="67">
        <v>2.5</v>
      </c>
      <c r="I165" s="9">
        <v>125</v>
      </c>
      <c r="J165" s="67">
        <v>2</v>
      </c>
      <c r="K165" s="65">
        <v>298</v>
      </c>
      <c r="L165" s="75" t="s">
        <v>415</v>
      </c>
      <c r="M165" s="78"/>
      <c r="S165" s="74"/>
    </row>
    <row r="166" spans="1:22" ht="15">
      <c r="A166" s="70" t="s">
        <v>440</v>
      </c>
      <c r="B166" s="67" t="s">
        <v>414</v>
      </c>
      <c r="C166" s="7">
        <f t="shared" si="23"/>
        <v>9.77</v>
      </c>
      <c r="D166" s="67">
        <v>63.69</v>
      </c>
      <c r="E166" s="67">
        <v>175</v>
      </c>
      <c r="F166" s="67">
        <v>71</v>
      </c>
      <c r="G166" s="67">
        <v>120</v>
      </c>
      <c r="H166" s="67">
        <v>2</v>
      </c>
      <c r="I166" s="9">
        <v>125</v>
      </c>
      <c r="J166" s="67">
        <v>2</v>
      </c>
      <c r="K166" s="65">
        <v>298</v>
      </c>
      <c r="L166" s="75" t="s">
        <v>415</v>
      </c>
      <c r="M166" s="33" t="s">
        <v>441</v>
      </c>
      <c r="T166" s="74"/>
    </row>
    <row r="167" spans="1:22" ht="15">
      <c r="A167" s="70" t="s">
        <v>442</v>
      </c>
      <c r="B167" s="67" t="s">
        <v>414</v>
      </c>
      <c r="C167" s="7">
        <f>ROUND(D167 * 6.022 * PI() * (0.44)^2 / 52, 2)</f>
        <v>2.98</v>
      </c>
      <c r="D167" s="73">
        <v>42.378</v>
      </c>
      <c r="E167" s="73" t="s">
        <v>443</v>
      </c>
      <c r="F167" s="73" t="s">
        <v>444</v>
      </c>
      <c r="G167" s="73" t="s">
        <v>445</v>
      </c>
      <c r="H167" s="67">
        <v>8.5</v>
      </c>
      <c r="I167" s="9">
        <v>125</v>
      </c>
      <c r="J167" s="73" t="s">
        <v>446</v>
      </c>
      <c r="K167" s="65">
        <v>298</v>
      </c>
      <c r="L167" s="75" t="s">
        <v>415</v>
      </c>
      <c r="M167" s="33" t="s">
        <v>447</v>
      </c>
      <c r="N167" s="74"/>
      <c r="T167" s="74"/>
      <c r="U167" s="74"/>
    </row>
    <row r="168" spans="1:22" ht="15">
      <c r="A168" s="70" t="s">
        <v>62</v>
      </c>
      <c r="B168" s="67" t="s">
        <v>414</v>
      </c>
      <c r="C168" s="7">
        <f t="shared" ref="C168:C169" si="24">ROUND(D168 * 6.022 * PI() * (0.69)^2 / 58.69, 2)</f>
        <v>4.5999999999999996</v>
      </c>
      <c r="D168" s="67">
        <v>29.96</v>
      </c>
      <c r="E168" s="67">
        <v>30</v>
      </c>
      <c r="F168" s="67">
        <v>98</v>
      </c>
      <c r="G168" s="67">
        <v>120</v>
      </c>
      <c r="H168" s="67">
        <v>1</v>
      </c>
      <c r="I168" s="9">
        <v>125</v>
      </c>
      <c r="J168" s="67">
        <v>8</v>
      </c>
      <c r="K168" s="65">
        <v>298</v>
      </c>
      <c r="L168" s="75" t="s">
        <v>415</v>
      </c>
      <c r="M168" s="77" t="s">
        <v>448</v>
      </c>
      <c r="N168" s="74"/>
      <c r="T168" s="74"/>
      <c r="U168" s="74"/>
      <c r="V168" s="74"/>
    </row>
    <row r="169" spans="1:22" ht="15">
      <c r="A169" s="70" t="s">
        <v>65</v>
      </c>
      <c r="B169" s="67" t="s">
        <v>414</v>
      </c>
      <c r="C169" s="7">
        <f t="shared" si="24"/>
        <v>11.71</v>
      </c>
      <c r="D169" s="67">
        <v>76.3</v>
      </c>
      <c r="E169" s="79">
        <f>(100+20)/2</f>
        <v>60</v>
      </c>
      <c r="F169" s="67">
        <v>96</v>
      </c>
      <c r="G169" s="67">
        <v>90</v>
      </c>
      <c r="H169" s="67">
        <v>3.25</v>
      </c>
      <c r="I169" s="73">
        <v>200</v>
      </c>
      <c r="J169" s="67">
        <v>2</v>
      </c>
      <c r="K169" s="65">
        <v>298</v>
      </c>
      <c r="L169" s="75" t="s">
        <v>415</v>
      </c>
      <c r="M169" s="33" t="s">
        <v>449</v>
      </c>
      <c r="N169" s="74"/>
      <c r="T169" s="74"/>
      <c r="U169" s="74"/>
      <c r="V169" s="74"/>
    </row>
    <row r="170" spans="1:22" ht="15">
      <c r="A170" s="70" t="s">
        <v>450</v>
      </c>
      <c r="B170" s="67" t="s">
        <v>414</v>
      </c>
      <c r="C170" s="7">
        <f t="shared" ref="C170:C172" si="25">ROUND(D170 * 6.022 * PI() * (0.44)^2 / 52, 2)</f>
        <v>2.4900000000000002</v>
      </c>
      <c r="D170" s="65">
        <v>35.299999999999997</v>
      </c>
      <c r="E170" s="67">
        <v>55</v>
      </c>
      <c r="F170" s="73" t="s">
        <v>451</v>
      </c>
      <c r="G170" s="67">
        <v>2880</v>
      </c>
      <c r="H170" s="67">
        <v>1</v>
      </c>
      <c r="I170" s="9">
        <v>125</v>
      </c>
      <c r="J170" s="67">
        <v>7</v>
      </c>
      <c r="K170" s="65">
        <v>298</v>
      </c>
      <c r="L170" s="75" t="s">
        <v>415</v>
      </c>
      <c r="M170" s="33" t="s">
        <v>452</v>
      </c>
      <c r="N170" s="74"/>
      <c r="O170" s="74"/>
      <c r="P170" s="74"/>
      <c r="T170" s="74"/>
      <c r="U170" s="74"/>
      <c r="V170" s="74"/>
    </row>
    <row r="171" spans="1:22" ht="15">
      <c r="A171" s="70" t="s">
        <v>453</v>
      </c>
      <c r="B171" s="67" t="s">
        <v>414</v>
      </c>
      <c r="C171" s="7">
        <f t="shared" si="25"/>
        <v>2.4900000000000002</v>
      </c>
      <c r="D171" s="65">
        <v>35.299999999999997</v>
      </c>
      <c r="E171" s="67">
        <v>50</v>
      </c>
      <c r="F171" s="67">
        <v>92</v>
      </c>
      <c r="G171" s="67">
        <v>60</v>
      </c>
      <c r="H171" s="67">
        <v>20</v>
      </c>
      <c r="I171" s="9">
        <v>125</v>
      </c>
      <c r="J171" s="67">
        <v>2</v>
      </c>
      <c r="K171" s="65">
        <v>298</v>
      </c>
      <c r="L171" s="75" t="s">
        <v>415</v>
      </c>
      <c r="M171" s="33" t="s">
        <v>454</v>
      </c>
      <c r="N171" s="74"/>
      <c r="O171" s="74"/>
      <c r="P171" s="74"/>
      <c r="Q171" s="74"/>
      <c r="U171" s="74"/>
      <c r="V171" s="74"/>
    </row>
    <row r="172" spans="1:22" ht="15">
      <c r="A172" s="70" t="s">
        <v>455</v>
      </c>
      <c r="B172" s="67" t="s">
        <v>414</v>
      </c>
      <c r="C172" s="7">
        <f t="shared" si="25"/>
        <v>2.4900000000000002</v>
      </c>
      <c r="D172" s="65">
        <v>35.299999999999997</v>
      </c>
      <c r="E172" s="67">
        <v>77.5</v>
      </c>
      <c r="F172" s="67">
        <v>87</v>
      </c>
      <c r="G172" s="67">
        <v>60</v>
      </c>
      <c r="H172" s="67">
        <v>6.85</v>
      </c>
      <c r="I172" s="9">
        <v>125</v>
      </c>
      <c r="J172" s="67">
        <v>8.58</v>
      </c>
      <c r="K172" s="65">
        <v>298</v>
      </c>
      <c r="L172" s="75" t="s">
        <v>415</v>
      </c>
      <c r="M172" s="33" t="s">
        <v>456</v>
      </c>
      <c r="N172" s="74"/>
      <c r="O172" s="74"/>
      <c r="P172" s="74"/>
      <c r="Q172" s="74"/>
      <c r="R172" s="74"/>
      <c r="S172" s="74"/>
      <c r="V172" s="74"/>
    </row>
    <row r="173" spans="1:22" ht="15">
      <c r="A173" s="70" t="s">
        <v>457</v>
      </c>
      <c r="B173" s="67" t="s">
        <v>414</v>
      </c>
      <c r="C173" s="7">
        <f t="shared" ref="C173:C177" si="26">ROUND(D173 * 6.022 * PI() * (0.69)^2 / 58.69, 2)</f>
        <v>20.41</v>
      </c>
      <c r="D173" s="67">
        <v>133</v>
      </c>
      <c r="E173" s="67">
        <v>50</v>
      </c>
      <c r="F173" s="67">
        <v>99.9</v>
      </c>
      <c r="G173" s="67">
        <v>300</v>
      </c>
      <c r="H173" s="67">
        <v>2</v>
      </c>
      <c r="I173" s="9">
        <v>125</v>
      </c>
      <c r="J173" s="67">
        <v>1.5</v>
      </c>
      <c r="K173" s="65">
        <v>298</v>
      </c>
      <c r="L173" s="75" t="s">
        <v>415</v>
      </c>
      <c r="M173" s="33" t="s">
        <v>458</v>
      </c>
      <c r="N173" s="74"/>
      <c r="O173" s="74"/>
      <c r="P173" s="74"/>
      <c r="Q173" s="74"/>
      <c r="R173" s="74"/>
      <c r="S173" s="74"/>
    </row>
    <row r="174" spans="1:22" ht="15">
      <c r="A174" s="70" t="s">
        <v>459</v>
      </c>
      <c r="B174" s="67" t="s">
        <v>414</v>
      </c>
      <c r="C174" s="7">
        <f t="shared" si="26"/>
        <v>0.81</v>
      </c>
      <c r="D174" s="67">
        <v>5.28</v>
      </c>
      <c r="E174" s="67">
        <v>52</v>
      </c>
      <c r="F174" s="67">
        <v>90</v>
      </c>
      <c r="G174" s="67">
        <v>440</v>
      </c>
      <c r="H174" s="67">
        <v>20</v>
      </c>
      <c r="I174" s="9">
        <v>125</v>
      </c>
      <c r="J174" s="67">
        <v>2.2000000000000002</v>
      </c>
      <c r="K174" s="65">
        <v>298</v>
      </c>
      <c r="L174" s="75" t="s">
        <v>415</v>
      </c>
      <c r="M174" s="33" t="s">
        <v>460</v>
      </c>
      <c r="N174" s="74"/>
      <c r="O174" s="74"/>
      <c r="P174" s="74"/>
      <c r="Q174" s="74"/>
      <c r="R174" s="74"/>
      <c r="S174" s="74"/>
      <c r="T174" s="74"/>
    </row>
    <row r="175" spans="1:22" ht="15">
      <c r="A175" s="70" t="s">
        <v>461</v>
      </c>
      <c r="B175" s="67" t="s">
        <v>414</v>
      </c>
      <c r="C175" s="7">
        <f t="shared" si="26"/>
        <v>11.71</v>
      </c>
      <c r="D175" s="67">
        <v>76.3</v>
      </c>
      <c r="E175" s="67">
        <v>60</v>
      </c>
      <c r="F175" s="67">
        <v>90</v>
      </c>
      <c r="G175" s="67">
        <v>60</v>
      </c>
      <c r="H175" s="67">
        <v>50</v>
      </c>
      <c r="I175" s="9">
        <v>125</v>
      </c>
      <c r="J175" s="67">
        <v>2</v>
      </c>
      <c r="K175" s="65">
        <v>298</v>
      </c>
      <c r="L175" s="75" t="s">
        <v>415</v>
      </c>
      <c r="M175" s="33" t="s">
        <v>449</v>
      </c>
      <c r="N175" s="74"/>
      <c r="O175" s="74"/>
      <c r="P175" s="74"/>
      <c r="Q175" s="74"/>
      <c r="R175" s="74"/>
      <c r="S175" s="74"/>
      <c r="T175" s="74"/>
    </row>
    <row r="176" spans="1:22" ht="15">
      <c r="A176" s="70" t="s">
        <v>462</v>
      </c>
      <c r="B176" s="67" t="s">
        <v>414</v>
      </c>
      <c r="C176" s="7">
        <f t="shared" si="26"/>
        <v>10.8</v>
      </c>
      <c r="D176" s="67">
        <v>70.400000000000006</v>
      </c>
      <c r="E176" s="67">
        <v>255</v>
      </c>
      <c r="F176" s="67">
        <v>70</v>
      </c>
      <c r="G176" s="67">
        <v>7200</v>
      </c>
      <c r="H176" s="80">
        <v>1</v>
      </c>
      <c r="I176" s="9">
        <v>125</v>
      </c>
      <c r="J176" s="67">
        <v>3</v>
      </c>
      <c r="K176" s="65">
        <v>298</v>
      </c>
      <c r="L176" s="75" t="s">
        <v>415</v>
      </c>
      <c r="M176" s="33" t="s">
        <v>463</v>
      </c>
      <c r="N176" s="74"/>
      <c r="O176" s="74"/>
      <c r="P176" s="74"/>
      <c r="Q176" s="74"/>
      <c r="R176" s="74"/>
      <c r="S176" s="74"/>
      <c r="T176" s="74"/>
    </row>
    <row r="177" spans="1:22" ht="15">
      <c r="A177" s="70" t="s">
        <v>464</v>
      </c>
      <c r="B177" s="67" t="s">
        <v>414</v>
      </c>
      <c r="C177" s="7">
        <f t="shared" si="26"/>
        <v>6.22</v>
      </c>
      <c r="D177" s="67">
        <v>40.56</v>
      </c>
      <c r="E177" s="67">
        <v>250</v>
      </c>
      <c r="F177" s="67">
        <v>82</v>
      </c>
      <c r="G177" s="67">
        <v>4320</v>
      </c>
      <c r="H177" s="67">
        <v>4</v>
      </c>
      <c r="I177" s="9">
        <v>125</v>
      </c>
      <c r="J177" s="67">
        <v>4</v>
      </c>
      <c r="K177" s="65">
        <v>298</v>
      </c>
      <c r="L177" s="72" t="s">
        <v>415</v>
      </c>
      <c r="M177" s="78"/>
      <c r="N177" s="74"/>
      <c r="O177" s="74"/>
      <c r="P177" s="74"/>
      <c r="Q177" s="74"/>
      <c r="R177" s="74"/>
      <c r="S177" s="74"/>
      <c r="T177" s="74"/>
    </row>
    <row r="178" spans="1:22" ht="15">
      <c r="A178" s="70" t="s">
        <v>465</v>
      </c>
      <c r="B178" s="67" t="s">
        <v>414</v>
      </c>
      <c r="C178" s="7">
        <f t="shared" ref="C178:C179" si="27">ROUND(D178 * 6.022 * PI() * (0.44)^2 / 52, 2)</f>
        <v>0.34</v>
      </c>
      <c r="D178" s="67">
        <v>4.79</v>
      </c>
      <c r="E178" s="67">
        <v>10</v>
      </c>
      <c r="F178" s="67">
        <v>51</v>
      </c>
      <c r="G178" s="67">
        <v>260</v>
      </c>
      <c r="H178" s="67">
        <v>10</v>
      </c>
      <c r="I178" s="9">
        <v>125</v>
      </c>
      <c r="J178" s="67">
        <v>3</v>
      </c>
      <c r="K178" s="65">
        <v>298</v>
      </c>
      <c r="L178" s="75" t="s">
        <v>415</v>
      </c>
      <c r="M178" s="78"/>
      <c r="N178" s="74"/>
      <c r="O178" s="74"/>
      <c r="P178" s="74"/>
      <c r="Q178" s="74"/>
      <c r="R178" s="74"/>
      <c r="S178" s="74"/>
      <c r="T178" s="74"/>
    </row>
    <row r="179" spans="1:22" ht="15">
      <c r="A179" s="70" t="s">
        <v>466</v>
      </c>
      <c r="B179" s="67" t="s">
        <v>414</v>
      </c>
      <c r="C179" s="7">
        <f t="shared" si="27"/>
        <v>0.13</v>
      </c>
      <c r="D179" s="67">
        <v>1.9</v>
      </c>
      <c r="E179" s="67">
        <v>30</v>
      </c>
      <c r="F179" s="67">
        <v>71</v>
      </c>
      <c r="G179" s="67">
        <v>60</v>
      </c>
      <c r="H179" s="67">
        <v>5</v>
      </c>
      <c r="I179" s="9">
        <v>125</v>
      </c>
      <c r="J179" s="67">
        <v>1</v>
      </c>
      <c r="K179" s="65">
        <v>298</v>
      </c>
      <c r="L179" s="75" t="s">
        <v>415</v>
      </c>
      <c r="M179" s="33" t="s">
        <v>467</v>
      </c>
      <c r="N179" s="74"/>
      <c r="O179" s="74"/>
      <c r="P179" s="74"/>
      <c r="Q179" s="74"/>
      <c r="R179" s="74"/>
      <c r="S179" s="74"/>
      <c r="T179" s="74"/>
    </row>
    <row r="180" spans="1:22" ht="15">
      <c r="A180" s="70" t="s">
        <v>468</v>
      </c>
      <c r="B180" s="67" t="s">
        <v>414</v>
      </c>
      <c r="C180" s="7">
        <f t="shared" ref="C180:C185" si="28">ROUND(D180 * 6.022 * PI() * (0.69)^2 / 58.69, 2)</f>
        <v>0.26</v>
      </c>
      <c r="D180" s="67">
        <v>1.7</v>
      </c>
      <c r="E180" s="67">
        <v>50</v>
      </c>
      <c r="F180" s="67">
        <v>84</v>
      </c>
      <c r="G180" s="67">
        <v>360</v>
      </c>
      <c r="H180" s="67">
        <v>60</v>
      </c>
      <c r="I180" s="9">
        <v>125</v>
      </c>
      <c r="J180" s="67">
        <v>3</v>
      </c>
      <c r="K180" s="65">
        <v>298</v>
      </c>
      <c r="L180" s="75" t="s">
        <v>415</v>
      </c>
      <c r="M180" s="78"/>
      <c r="N180" s="74"/>
      <c r="O180" s="74"/>
      <c r="P180" s="74"/>
      <c r="Q180" s="74"/>
      <c r="R180" s="74"/>
      <c r="S180" s="74"/>
      <c r="T180" s="74"/>
      <c r="U180" s="74"/>
    </row>
    <row r="181" spans="1:22" ht="15">
      <c r="A181" s="70" t="s">
        <v>469</v>
      </c>
      <c r="B181" s="67" t="s">
        <v>342</v>
      </c>
      <c r="C181" s="7">
        <f t="shared" si="28"/>
        <v>0.66</v>
      </c>
      <c r="D181" s="67">
        <v>4.3</v>
      </c>
      <c r="E181" s="67">
        <v>20</v>
      </c>
      <c r="F181" s="65">
        <v>90.65</v>
      </c>
      <c r="G181" s="38">
        <v>60</v>
      </c>
      <c r="H181" s="38">
        <v>1</v>
      </c>
      <c r="I181" s="38">
        <v>125</v>
      </c>
      <c r="J181" s="38">
        <v>5</v>
      </c>
      <c r="K181" s="38">
        <v>298</v>
      </c>
      <c r="L181" s="81" t="s">
        <v>470</v>
      </c>
      <c r="M181" s="78"/>
      <c r="N181" s="74"/>
      <c r="O181" s="74"/>
      <c r="P181" s="74"/>
      <c r="Q181" s="74"/>
      <c r="R181" s="74"/>
      <c r="S181" s="74"/>
      <c r="T181" s="74"/>
      <c r="U181" s="74"/>
      <c r="V181" s="74"/>
    </row>
    <row r="182" spans="1:22" ht="15">
      <c r="A182" s="70" t="s">
        <v>471</v>
      </c>
      <c r="B182" s="67" t="s">
        <v>342</v>
      </c>
      <c r="C182" s="41">
        <f t="shared" si="28"/>
        <v>1.57</v>
      </c>
      <c r="D182" s="67">
        <v>10.199999999999999</v>
      </c>
      <c r="E182" s="67">
        <v>510</v>
      </c>
      <c r="F182" s="38">
        <v>81</v>
      </c>
      <c r="G182" s="38">
        <v>120</v>
      </c>
      <c r="H182" s="38">
        <v>1</v>
      </c>
      <c r="I182" s="38">
        <v>125</v>
      </c>
      <c r="J182" s="38">
        <v>2</v>
      </c>
      <c r="K182" s="38">
        <v>298</v>
      </c>
      <c r="L182" s="81" t="s">
        <v>396</v>
      </c>
      <c r="M182" s="78"/>
      <c r="N182" s="74"/>
      <c r="O182" s="74"/>
      <c r="P182" s="74"/>
      <c r="Q182" s="74"/>
      <c r="R182" s="74"/>
      <c r="S182" s="74"/>
      <c r="T182" s="74"/>
      <c r="U182" s="74"/>
      <c r="V182" s="74"/>
    </row>
    <row r="183" spans="1:22" ht="15">
      <c r="A183" s="70" t="s">
        <v>472</v>
      </c>
      <c r="B183" s="67" t="s">
        <v>110</v>
      </c>
      <c r="C183" s="41">
        <f t="shared" si="28"/>
        <v>5.23</v>
      </c>
      <c r="D183" s="67">
        <v>34.1</v>
      </c>
      <c r="E183" s="67">
        <v>450</v>
      </c>
      <c r="F183" s="38">
        <v>90.65</v>
      </c>
      <c r="G183" s="38">
        <v>60</v>
      </c>
      <c r="H183" s="38">
        <v>1</v>
      </c>
      <c r="I183" s="38">
        <v>150</v>
      </c>
      <c r="J183" s="38">
        <v>5.5</v>
      </c>
      <c r="K183" s="38">
        <v>298</v>
      </c>
      <c r="L183" s="81" t="s">
        <v>473</v>
      </c>
      <c r="M183" s="78"/>
      <c r="N183" s="74"/>
      <c r="O183" s="74"/>
      <c r="P183" s="74"/>
      <c r="Q183" s="74"/>
      <c r="R183" s="74"/>
      <c r="S183" s="74"/>
      <c r="T183" s="74"/>
      <c r="U183" s="74"/>
      <c r="V183" s="74"/>
    </row>
    <row r="184" spans="1:22" ht="15">
      <c r="A184" s="70" t="s">
        <v>472</v>
      </c>
      <c r="B184" s="67" t="s">
        <v>474</v>
      </c>
      <c r="C184" s="41">
        <f t="shared" si="28"/>
        <v>8.0399999999999991</v>
      </c>
      <c r="D184" s="67">
        <v>52.4</v>
      </c>
      <c r="E184" s="67">
        <v>450</v>
      </c>
      <c r="F184" s="38">
        <v>91</v>
      </c>
      <c r="G184" s="38">
        <v>60</v>
      </c>
      <c r="H184" s="38">
        <v>1</v>
      </c>
      <c r="I184" s="38">
        <v>150</v>
      </c>
      <c r="J184" s="38">
        <v>5.5</v>
      </c>
      <c r="K184" s="38">
        <v>298</v>
      </c>
      <c r="L184" s="81" t="s">
        <v>473</v>
      </c>
      <c r="M184" s="78"/>
      <c r="N184" s="74"/>
      <c r="O184" s="74"/>
      <c r="P184" s="74"/>
      <c r="Q184" s="74"/>
      <c r="R184" s="74"/>
      <c r="S184" s="74"/>
      <c r="T184" s="74"/>
      <c r="U184" s="74"/>
      <c r="V184" s="74"/>
    </row>
    <row r="185" spans="1:22" ht="15">
      <c r="A185" s="82" t="s">
        <v>472</v>
      </c>
      <c r="B185" s="67" t="s">
        <v>44</v>
      </c>
      <c r="C185" s="41">
        <f t="shared" si="28"/>
        <v>3.97</v>
      </c>
      <c r="D185" s="67">
        <v>25.9</v>
      </c>
      <c r="E185" s="67">
        <v>450</v>
      </c>
      <c r="F185" s="38">
        <v>89</v>
      </c>
      <c r="G185" s="38">
        <v>60</v>
      </c>
      <c r="H185" s="38">
        <v>1</v>
      </c>
      <c r="I185" s="38">
        <v>150</v>
      </c>
      <c r="J185" s="38">
        <v>5.5</v>
      </c>
      <c r="K185" s="38">
        <v>298</v>
      </c>
      <c r="L185" s="81" t="s">
        <v>473</v>
      </c>
      <c r="M185" s="78"/>
      <c r="N185" s="74"/>
      <c r="O185" s="74"/>
      <c r="P185" s="74"/>
      <c r="Q185" s="74"/>
      <c r="R185" s="74"/>
      <c r="S185" s="74"/>
      <c r="T185" s="74"/>
      <c r="U185" s="74"/>
      <c r="V185" s="74"/>
    </row>
    <row r="186" spans="1:22" ht="15">
      <c r="A186" s="70" t="s">
        <v>472</v>
      </c>
      <c r="B186" s="67" t="s">
        <v>258</v>
      </c>
      <c r="C186" s="41">
        <v>1.2</v>
      </c>
      <c r="D186" s="67">
        <v>54.4</v>
      </c>
      <c r="E186" s="67">
        <v>450</v>
      </c>
      <c r="F186" s="38">
        <v>85</v>
      </c>
      <c r="G186" s="38">
        <v>60</v>
      </c>
      <c r="H186" s="38">
        <v>1</v>
      </c>
      <c r="I186" s="38">
        <v>150</v>
      </c>
      <c r="J186" s="38">
        <v>5.5</v>
      </c>
      <c r="K186" s="38">
        <v>298</v>
      </c>
      <c r="L186" s="81" t="s">
        <v>473</v>
      </c>
      <c r="M186" s="78"/>
      <c r="N186" s="74"/>
      <c r="O186" s="74"/>
      <c r="P186" s="74"/>
      <c r="Q186" s="74"/>
      <c r="R186" s="74"/>
      <c r="S186" s="74"/>
      <c r="T186" s="74"/>
      <c r="U186" s="74"/>
      <c r="V186" s="74"/>
    </row>
    <row r="187" spans="1:22" ht="15">
      <c r="A187" s="70" t="s">
        <v>475</v>
      </c>
      <c r="B187" s="67" t="s">
        <v>44</v>
      </c>
      <c r="C187" s="41">
        <f t="shared" ref="C187:C208" si="29">ROUND(D187 * 6.022 * PI() * (0.69)^2 / 58.69, 2)</f>
        <v>39.29</v>
      </c>
      <c r="D187" s="67">
        <v>256</v>
      </c>
      <c r="E187" s="67">
        <v>3.2250000000000001</v>
      </c>
      <c r="F187" s="67">
        <v>99</v>
      </c>
      <c r="G187" s="67">
        <v>120</v>
      </c>
      <c r="H187" s="38">
        <v>1</v>
      </c>
      <c r="I187" s="38">
        <v>125</v>
      </c>
      <c r="J187" s="67">
        <v>5</v>
      </c>
      <c r="K187" s="67">
        <v>313</v>
      </c>
      <c r="L187" s="75" t="s">
        <v>476</v>
      </c>
      <c r="M187" s="78"/>
      <c r="N187" s="74"/>
      <c r="O187" s="74"/>
      <c r="P187" s="74"/>
      <c r="Q187" s="74"/>
      <c r="R187" s="74"/>
      <c r="S187" s="74"/>
      <c r="T187" s="74"/>
      <c r="U187" s="74"/>
      <c r="V187" s="74"/>
    </row>
    <row r="188" spans="1:22" ht="15">
      <c r="A188" s="70" t="s">
        <v>475</v>
      </c>
      <c r="B188" s="67" t="s">
        <v>110</v>
      </c>
      <c r="C188" s="41">
        <f t="shared" si="29"/>
        <v>21.02</v>
      </c>
      <c r="D188" s="67">
        <v>136.97999999999999</v>
      </c>
      <c r="E188" s="67">
        <v>3.2250000000000001</v>
      </c>
      <c r="F188" s="67">
        <v>98.46</v>
      </c>
      <c r="G188" s="67">
        <v>120</v>
      </c>
      <c r="H188" s="38">
        <v>1</v>
      </c>
      <c r="I188" s="38">
        <v>125</v>
      </c>
      <c r="J188" s="67">
        <v>6</v>
      </c>
      <c r="K188" s="67">
        <v>313</v>
      </c>
      <c r="L188" s="75" t="s">
        <v>476</v>
      </c>
      <c r="M188" s="78"/>
      <c r="N188" s="74"/>
      <c r="O188" s="74"/>
      <c r="P188" s="74"/>
      <c r="Q188" s="74"/>
      <c r="R188" s="74"/>
      <c r="S188" s="74"/>
      <c r="T188" s="74"/>
      <c r="U188" s="74"/>
      <c r="V188" s="74"/>
    </row>
    <row r="189" spans="1:22" ht="15">
      <c r="A189" s="70" t="s">
        <v>475</v>
      </c>
      <c r="B189" s="67" t="s">
        <v>414</v>
      </c>
      <c r="C189" s="41">
        <f t="shared" si="29"/>
        <v>14.22</v>
      </c>
      <c r="D189" s="67">
        <v>92.65</v>
      </c>
      <c r="E189" s="67">
        <v>52</v>
      </c>
      <c r="F189" s="67">
        <v>92.65</v>
      </c>
      <c r="G189" s="67">
        <v>12</v>
      </c>
      <c r="H189" s="38">
        <v>1</v>
      </c>
      <c r="I189" s="38">
        <v>125</v>
      </c>
      <c r="J189" s="67">
        <v>5.5</v>
      </c>
      <c r="K189" s="67">
        <v>305</v>
      </c>
      <c r="L189" s="72" t="s">
        <v>476</v>
      </c>
      <c r="M189" s="78"/>
      <c r="N189" s="74"/>
      <c r="O189" s="74"/>
      <c r="P189" s="74"/>
      <c r="Q189" s="74"/>
      <c r="R189" s="74"/>
      <c r="S189" s="74"/>
      <c r="T189" s="74"/>
      <c r="U189" s="74"/>
      <c r="V189" s="74"/>
    </row>
    <row r="190" spans="1:22" ht="15">
      <c r="A190" s="70" t="s">
        <v>475</v>
      </c>
      <c r="B190" s="67" t="s">
        <v>200</v>
      </c>
      <c r="C190" s="41">
        <f t="shared" si="29"/>
        <v>31.81</v>
      </c>
      <c r="D190" s="67">
        <v>207.27</v>
      </c>
      <c r="E190" s="67">
        <v>50</v>
      </c>
      <c r="F190" s="67">
        <v>86.77</v>
      </c>
      <c r="G190" s="67">
        <v>300</v>
      </c>
      <c r="H190" s="38">
        <v>1</v>
      </c>
      <c r="I190" s="38">
        <v>125</v>
      </c>
      <c r="J190" s="67">
        <v>5</v>
      </c>
      <c r="K190" s="67">
        <v>305</v>
      </c>
      <c r="L190" s="75" t="s">
        <v>476</v>
      </c>
      <c r="M190" s="78"/>
      <c r="N190" s="74"/>
      <c r="O190" s="74"/>
      <c r="P190" s="74"/>
      <c r="Q190" s="74"/>
      <c r="R190" s="74"/>
      <c r="S190" s="74"/>
      <c r="T190" s="74"/>
      <c r="U190" s="74"/>
      <c r="V190" s="74"/>
    </row>
    <row r="191" spans="1:22" ht="15">
      <c r="A191" s="70" t="s">
        <v>475</v>
      </c>
      <c r="B191" s="67" t="s">
        <v>330</v>
      </c>
      <c r="C191" s="41">
        <f t="shared" si="29"/>
        <v>6.56</v>
      </c>
      <c r="D191" s="67">
        <v>42.75</v>
      </c>
      <c r="E191" s="67">
        <v>5</v>
      </c>
      <c r="F191" s="67">
        <v>80.39</v>
      </c>
      <c r="G191" s="67">
        <v>900</v>
      </c>
      <c r="H191" s="38">
        <v>1</v>
      </c>
      <c r="I191" s="38">
        <v>125</v>
      </c>
      <c r="J191" s="67">
        <v>5</v>
      </c>
      <c r="K191" s="67">
        <v>305</v>
      </c>
      <c r="L191" s="75" t="s">
        <v>476</v>
      </c>
      <c r="M191" s="78"/>
      <c r="N191" s="74"/>
      <c r="O191" s="74"/>
      <c r="P191" s="74"/>
      <c r="Q191" s="74"/>
      <c r="R191" s="74"/>
      <c r="S191" s="74"/>
      <c r="T191" s="74"/>
      <c r="U191" s="74"/>
      <c r="V191" s="74"/>
    </row>
    <row r="192" spans="1:22" ht="15">
      <c r="A192" s="70" t="s">
        <v>475</v>
      </c>
      <c r="B192" s="67" t="s">
        <v>292</v>
      </c>
      <c r="C192" s="41">
        <f t="shared" si="29"/>
        <v>3.27</v>
      </c>
      <c r="D192" s="67">
        <v>21.28</v>
      </c>
      <c r="E192" s="67">
        <v>13.5</v>
      </c>
      <c r="F192" s="67">
        <v>93.8</v>
      </c>
      <c r="G192" s="67">
        <v>30</v>
      </c>
      <c r="H192" s="38">
        <v>1</v>
      </c>
      <c r="I192" s="38">
        <v>125</v>
      </c>
      <c r="J192" s="67">
        <v>5.5</v>
      </c>
      <c r="K192" s="67">
        <v>298</v>
      </c>
      <c r="L192" s="75" t="s">
        <v>476</v>
      </c>
      <c r="M192" s="78"/>
      <c r="N192" s="74"/>
      <c r="O192" s="74"/>
      <c r="P192" s="74"/>
      <c r="Q192" s="74"/>
      <c r="R192" s="74"/>
      <c r="S192" s="74"/>
      <c r="T192" s="74"/>
      <c r="U192" s="74"/>
      <c r="V192" s="74"/>
    </row>
    <row r="193" spans="1:22" ht="15">
      <c r="A193" s="70" t="s">
        <v>475</v>
      </c>
      <c r="B193" s="67" t="s">
        <v>258</v>
      </c>
      <c r="C193" s="41">
        <f t="shared" si="29"/>
        <v>10.130000000000001</v>
      </c>
      <c r="D193" s="67">
        <v>66.010000000000005</v>
      </c>
      <c r="E193" s="67">
        <v>55</v>
      </c>
      <c r="F193" s="67">
        <v>78.31</v>
      </c>
      <c r="G193" s="67">
        <v>120</v>
      </c>
      <c r="H193" s="38">
        <v>1</v>
      </c>
      <c r="I193" s="38">
        <v>125</v>
      </c>
      <c r="J193" s="67">
        <v>6.5</v>
      </c>
      <c r="K193" s="67">
        <v>318</v>
      </c>
      <c r="L193" s="75" t="s">
        <v>476</v>
      </c>
      <c r="M193" s="78"/>
      <c r="N193" s="74"/>
      <c r="O193" s="74"/>
      <c r="P193" s="74"/>
      <c r="Q193" s="74"/>
      <c r="R193" s="74"/>
      <c r="S193" s="74"/>
      <c r="T193" s="74"/>
      <c r="U193" s="74"/>
      <c r="V193" s="74"/>
    </row>
    <row r="194" spans="1:22" ht="15">
      <c r="A194" s="70" t="s">
        <v>475</v>
      </c>
      <c r="B194" s="67" t="s">
        <v>349</v>
      </c>
      <c r="C194" s="41">
        <f t="shared" si="29"/>
        <v>43.09</v>
      </c>
      <c r="D194" s="67">
        <v>280.8</v>
      </c>
      <c r="E194" s="67">
        <v>50</v>
      </c>
      <c r="F194" s="67">
        <v>98</v>
      </c>
      <c r="G194" s="67">
        <v>120</v>
      </c>
      <c r="H194" s="38">
        <v>1</v>
      </c>
      <c r="I194" s="38">
        <v>125</v>
      </c>
      <c r="J194" s="67">
        <v>5</v>
      </c>
      <c r="K194" s="67">
        <v>298</v>
      </c>
      <c r="L194" s="75" t="s">
        <v>476</v>
      </c>
      <c r="M194" s="78"/>
      <c r="N194" s="74"/>
      <c r="O194" s="74"/>
      <c r="P194" s="74"/>
      <c r="Q194" s="74"/>
      <c r="R194" s="74"/>
      <c r="S194" s="74"/>
      <c r="T194" s="74"/>
      <c r="U194" s="74"/>
      <c r="V194" s="74"/>
    </row>
    <row r="195" spans="1:22" ht="15">
      <c r="A195" s="70" t="s">
        <v>475</v>
      </c>
      <c r="B195" s="67" t="s">
        <v>283</v>
      </c>
      <c r="C195" s="41">
        <f t="shared" si="29"/>
        <v>31.97</v>
      </c>
      <c r="D195" s="67">
        <v>208.33</v>
      </c>
      <c r="E195" s="67">
        <v>10</v>
      </c>
      <c r="F195" s="67">
        <v>100</v>
      </c>
      <c r="G195" s="67">
        <v>1440</v>
      </c>
      <c r="H195" s="38">
        <v>1</v>
      </c>
      <c r="I195" s="38">
        <v>125</v>
      </c>
      <c r="J195" s="67">
        <v>7</v>
      </c>
      <c r="K195" s="67">
        <v>293</v>
      </c>
      <c r="L195" s="75" t="s">
        <v>476</v>
      </c>
      <c r="M195" s="78"/>
      <c r="N195" s="74"/>
      <c r="O195" s="74"/>
      <c r="P195" s="74"/>
      <c r="Q195" s="74"/>
      <c r="R195" s="74"/>
      <c r="S195" s="74"/>
      <c r="T195" s="74"/>
      <c r="U195" s="74"/>
      <c r="V195" s="74"/>
    </row>
    <row r="196" spans="1:22" ht="15">
      <c r="A196" s="70" t="s">
        <v>477</v>
      </c>
      <c r="B196" s="67" t="s">
        <v>44</v>
      </c>
      <c r="C196" s="41">
        <f t="shared" si="29"/>
        <v>20.6</v>
      </c>
      <c r="D196" s="67">
        <v>134.22</v>
      </c>
      <c r="E196" s="67">
        <v>40</v>
      </c>
      <c r="F196" s="67">
        <v>97.95</v>
      </c>
      <c r="G196" s="67">
        <v>50</v>
      </c>
      <c r="H196" s="38">
        <v>1</v>
      </c>
      <c r="I196" s="38">
        <v>125</v>
      </c>
      <c r="J196" s="67">
        <v>6.5</v>
      </c>
      <c r="K196" s="67">
        <v>298</v>
      </c>
      <c r="L196" s="75" t="s">
        <v>476</v>
      </c>
      <c r="M196" s="78"/>
      <c r="N196" s="74"/>
      <c r="O196" s="74"/>
      <c r="P196" s="74"/>
      <c r="Q196" s="74"/>
      <c r="R196" s="74"/>
      <c r="S196" s="74"/>
      <c r="T196" s="74"/>
      <c r="U196" s="74"/>
      <c r="V196" s="74"/>
    </row>
    <row r="197" spans="1:22" ht="15">
      <c r="A197" s="70" t="s">
        <v>477</v>
      </c>
      <c r="B197" s="67" t="s">
        <v>110</v>
      </c>
      <c r="C197" s="41">
        <f t="shared" si="29"/>
        <v>5.84</v>
      </c>
      <c r="D197" s="67">
        <v>38.03</v>
      </c>
      <c r="E197" s="67">
        <v>200</v>
      </c>
      <c r="F197" s="67">
        <v>95</v>
      </c>
      <c r="G197" s="67">
        <v>120</v>
      </c>
      <c r="H197" s="38">
        <v>1</v>
      </c>
      <c r="I197" s="38">
        <v>125</v>
      </c>
      <c r="J197" s="67">
        <v>6.8</v>
      </c>
      <c r="K197" s="67">
        <v>298</v>
      </c>
      <c r="L197" s="75" t="s">
        <v>476</v>
      </c>
      <c r="M197" s="78"/>
      <c r="N197" s="74"/>
      <c r="O197" s="74"/>
      <c r="P197" s="74"/>
      <c r="Q197" s="74"/>
      <c r="R197" s="74"/>
      <c r="S197" s="74"/>
      <c r="T197" s="74"/>
      <c r="U197" s="74"/>
      <c r="V197" s="74"/>
    </row>
    <row r="198" spans="1:22" ht="15">
      <c r="A198" s="83" t="s">
        <v>477</v>
      </c>
      <c r="B198" s="67" t="s">
        <v>414</v>
      </c>
      <c r="C198" s="41">
        <f t="shared" si="29"/>
        <v>3.31</v>
      </c>
      <c r="D198" s="67">
        <v>21.57</v>
      </c>
      <c r="E198" s="67">
        <v>75</v>
      </c>
      <c r="F198" s="67">
        <v>98.2</v>
      </c>
      <c r="G198" s="67">
        <v>60</v>
      </c>
      <c r="H198" s="38">
        <v>1</v>
      </c>
      <c r="I198" s="38">
        <v>125</v>
      </c>
      <c r="J198" s="67">
        <v>5</v>
      </c>
      <c r="K198" s="67">
        <v>293</v>
      </c>
      <c r="L198" s="75" t="s">
        <v>476</v>
      </c>
      <c r="M198" s="78"/>
      <c r="N198" s="74"/>
      <c r="O198" s="74"/>
      <c r="P198" s="74"/>
      <c r="Q198" s="74"/>
      <c r="R198" s="74"/>
      <c r="S198" s="74"/>
      <c r="T198" s="74"/>
      <c r="U198" s="74"/>
      <c r="V198" s="74"/>
    </row>
    <row r="199" spans="1:22" ht="15">
      <c r="A199" s="70" t="s">
        <v>477</v>
      </c>
      <c r="B199" s="67" t="s">
        <v>200</v>
      </c>
      <c r="C199" s="41">
        <f t="shared" si="29"/>
        <v>5.83</v>
      </c>
      <c r="D199" s="67">
        <v>38</v>
      </c>
      <c r="E199" s="67">
        <v>37</v>
      </c>
      <c r="F199" s="67">
        <v>97</v>
      </c>
      <c r="G199" s="67">
        <v>75</v>
      </c>
      <c r="H199" s="38">
        <v>1</v>
      </c>
      <c r="I199" s="38">
        <v>125</v>
      </c>
      <c r="J199" s="67">
        <v>5</v>
      </c>
      <c r="K199" s="67">
        <v>300</v>
      </c>
      <c r="L199" s="75" t="s">
        <v>476</v>
      </c>
      <c r="M199" s="78"/>
      <c r="N199" s="74"/>
      <c r="O199" s="74"/>
      <c r="P199" s="74"/>
      <c r="Q199" s="74"/>
      <c r="R199" s="74"/>
      <c r="S199" s="74"/>
      <c r="T199" s="74"/>
      <c r="U199" s="74"/>
      <c r="V199" s="74"/>
    </row>
    <row r="200" spans="1:22" ht="15">
      <c r="A200" s="70" t="s">
        <v>477</v>
      </c>
      <c r="B200" s="67" t="s">
        <v>333</v>
      </c>
      <c r="C200" s="41">
        <f t="shared" si="29"/>
        <v>2.15</v>
      </c>
      <c r="D200" s="67">
        <v>14</v>
      </c>
      <c r="E200" s="67">
        <v>40</v>
      </c>
      <c r="F200" s="67">
        <v>99</v>
      </c>
      <c r="G200" s="67">
        <v>150</v>
      </c>
      <c r="H200" s="38">
        <v>1</v>
      </c>
      <c r="I200" s="38">
        <v>125</v>
      </c>
      <c r="J200" s="67">
        <v>6.5</v>
      </c>
      <c r="K200" s="67">
        <v>303</v>
      </c>
      <c r="L200" s="75" t="s">
        <v>476</v>
      </c>
      <c r="M200" s="78"/>
      <c r="N200" s="74"/>
      <c r="O200" s="74"/>
      <c r="P200" s="74"/>
      <c r="Q200" s="74"/>
      <c r="R200" s="74"/>
      <c r="S200" s="74"/>
      <c r="T200" s="74"/>
      <c r="U200" s="74"/>
      <c r="V200" s="74"/>
    </row>
    <row r="201" spans="1:22" ht="15">
      <c r="A201" s="70" t="s">
        <v>477</v>
      </c>
      <c r="B201" s="67" t="s">
        <v>292</v>
      </c>
      <c r="C201" s="41">
        <f t="shared" si="29"/>
        <v>3.46</v>
      </c>
      <c r="D201" s="67">
        <v>22.57</v>
      </c>
      <c r="E201" s="67">
        <v>100</v>
      </c>
      <c r="F201" s="67">
        <v>90.3</v>
      </c>
      <c r="G201" s="67">
        <v>100</v>
      </c>
      <c r="H201" s="38">
        <v>1</v>
      </c>
      <c r="I201" s="38">
        <v>125</v>
      </c>
      <c r="J201" s="67">
        <v>6</v>
      </c>
      <c r="K201" s="67">
        <v>303</v>
      </c>
      <c r="L201" s="75" t="s">
        <v>476</v>
      </c>
      <c r="M201" s="78"/>
      <c r="N201" s="74"/>
      <c r="O201" s="74"/>
      <c r="P201" s="74"/>
      <c r="Q201" s="74"/>
      <c r="R201" s="74"/>
      <c r="S201" s="74"/>
      <c r="T201" s="74"/>
      <c r="U201" s="74"/>
      <c r="V201" s="74"/>
    </row>
    <row r="202" spans="1:22" ht="15">
      <c r="A202" s="70" t="s">
        <v>477</v>
      </c>
      <c r="B202" s="67" t="s">
        <v>258</v>
      </c>
      <c r="C202" s="41">
        <f t="shared" si="29"/>
        <v>10.37</v>
      </c>
      <c r="D202" s="67">
        <v>67.56</v>
      </c>
      <c r="E202" s="67">
        <v>20</v>
      </c>
      <c r="F202" s="67">
        <v>94</v>
      </c>
      <c r="G202" s="67">
        <v>120</v>
      </c>
      <c r="H202" s="38">
        <v>1</v>
      </c>
      <c r="I202" s="38">
        <v>125</v>
      </c>
      <c r="J202" s="67">
        <v>5.8</v>
      </c>
      <c r="K202" s="67">
        <v>293</v>
      </c>
      <c r="L202" s="75" t="s">
        <v>476</v>
      </c>
      <c r="M202" s="78"/>
      <c r="N202" s="74"/>
      <c r="O202" s="74"/>
      <c r="P202" s="74"/>
      <c r="Q202" s="74"/>
      <c r="R202" s="74"/>
      <c r="S202" s="74"/>
      <c r="T202" s="74"/>
      <c r="U202" s="74"/>
      <c r="V202" s="74"/>
    </row>
    <row r="203" spans="1:22" ht="15">
      <c r="A203" s="70" t="s">
        <v>477</v>
      </c>
      <c r="B203" s="67" t="s">
        <v>349</v>
      </c>
      <c r="C203" s="41">
        <f t="shared" si="29"/>
        <v>23.63</v>
      </c>
      <c r="D203" s="67">
        <v>154</v>
      </c>
      <c r="E203" s="67">
        <v>40</v>
      </c>
      <c r="F203" s="67">
        <v>100</v>
      </c>
      <c r="G203" s="67">
        <v>40</v>
      </c>
      <c r="H203" s="38">
        <v>1</v>
      </c>
      <c r="I203" s="38">
        <v>125</v>
      </c>
      <c r="J203" s="67">
        <v>5</v>
      </c>
      <c r="K203" s="67">
        <v>298</v>
      </c>
      <c r="L203" s="75" t="s">
        <v>476</v>
      </c>
      <c r="M203" s="78"/>
      <c r="N203" s="74"/>
      <c r="O203" s="74"/>
      <c r="P203" s="74"/>
      <c r="Q203" s="74"/>
      <c r="R203" s="74"/>
      <c r="S203" s="74"/>
      <c r="T203" s="74"/>
      <c r="U203" s="74"/>
      <c r="V203" s="74"/>
    </row>
    <row r="204" spans="1:22" ht="15">
      <c r="A204" s="70" t="s">
        <v>477</v>
      </c>
      <c r="B204" s="67" t="s">
        <v>283</v>
      </c>
      <c r="C204" s="41">
        <f t="shared" si="29"/>
        <v>4.7699999999999996</v>
      </c>
      <c r="D204" s="73">
        <v>31.11</v>
      </c>
      <c r="E204" s="67">
        <v>200</v>
      </c>
      <c r="F204" s="67">
        <v>95</v>
      </c>
      <c r="G204" s="67">
        <v>120</v>
      </c>
      <c r="H204" s="38">
        <v>1</v>
      </c>
      <c r="I204" s="38">
        <v>125</v>
      </c>
      <c r="J204" s="67">
        <v>4.5</v>
      </c>
      <c r="K204" s="67">
        <v>298</v>
      </c>
      <c r="L204" s="75" t="s">
        <v>476</v>
      </c>
      <c r="M204" s="78"/>
      <c r="N204" s="74"/>
      <c r="O204" s="74"/>
      <c r="P204" s="74"/>
      <c r="Q204" s="74"/>
      <c r="R204" s="74"/>
      <c r="S204" s="74"/>
      <c r="T204" s="74"/>
      <c r="U204" s="74"/>
      <c r="V204" s="74"/>
    </row>
    <row r="205" spans="1:22" ht="15">
      <c r="A205" s="84" t="s">
        <v>477</v>
      </c>
      <c r="B205" s="85" t="s">
        <v>337</v>
      </c>
      <c r="C205" s="41">
        <f t="shared" si="29"/>
        <v>7.86</v>
      </c>
      <c r="D205" s="85">
        <v>51.23</v>
      </c>
      <c r="E205" s="85">
        <v>20</v>
      </c>
      <c r="F205" s="85">
        <v>88</v>
      </c>
      <c r="G205" s="85">
        <v>120</v>
      </c>
      <c r="H205" s="38">
        <v>1</v>
      </c>
      <c r="I205" s="38">
        <v>125</v>
      </c>
      <c r="J205" s="67">
        <v>5.8</v>
      </c>
      <c r="K205" s="85">
        <v>293</v>
      </c>
      <c r="L205" s="86" t="s">
        <v>476</v>
      </c>
      <c r="M205" s="78"/>
      <c r="N205" s="74"/>
      <c r="O205" s="74"/>
      <c r="P205" s="74"/>
      <c r="Q205" s="74"/>
      <c r="R205" s="74"/>
      <c r="S205" s="74"/>
      <c r="T205" s="74"/>
      <c r="U205" s="74"/>
      <c r="V205" s="74"/>
    </row>
    <row r="206" spans="1:22" ht="15">
      <c r="A206" s="84" t="s">
        <v>477</v>
      </c>
      <c r="B206" s="85" t="s">
        <v>334</v>
      </c>
      <c r="C206" s="41">
        <f t="shared" si="29"/>
        <v>9.02</v>
      </c>
      <c r="D206" s="85">
        <v>58.76</v>
      </c>
      <c r="E206" s="85">
        <v>20</v>
      </c>
      <c r="F206" s="85">
        <v>90</v>
      </c>
      <c r="G206" s="85">
        <v>120</v>
      </c>
      <c r="H206" s="38">
        <v>1</v>
      </c>
      <c r="I206" s="38">
        <v>125</v>
      </c>
      <c r="J206" s="67">
        <v>5.8</v>
      </c>
      <c r="K206" s="85">
        <v>293</v>
      </c>
      <c r="L206" s="86" t="s">
        <v>476</v>
      </c>
      <c r="M206" s="78"/>
      <c r="N206" s="74"/>
      <c r="O206" s="74"/>
      <c r="P206" s="74"/>
      <c r="Q206" s="74"/>
      <c r="R206" s="74"/>
      <c r="S206" s="74"/>
      <c r="T206" s="74"/>
      <c r="U206" s="74"/>
      <c r="V206" s="74"/>
    </row>
    <row r="207" spans="1:22" ht="15">
      <c r="A207" s="84" t="s">
        <v>478</v>
      </c>
      <c r="B207" s="85" t="s">
        <v>403</v>
      </c>
      <c r="C207" s="41">
        <f t="shared" si="29"/>
        <v>19.329999999999998</v>
      </c>
      <c r="D207" s="85">
        <v>125.94</v>
      </c>
      <c r="E207" s="85">
        <v>210</v>
      </c>
      <c r="F207" s="85">
        <v>99.1</v>
      </c>
      <c r="G207" s="85">
        <v>120</v>
      </c>
      <c r="H207" s="38">
        <v>1</v>
      </c>
      <c r="I207" s="38">
        <v>125</v>
      </c>
      <c r="J207" s="67">
        <v>6.5</v>
      </c>
      <c r="K207" s="85">
        <v>298</v>
      </c>
      <c r="L207" s="87" t="s">
        <v>476</v>
      </c>
      <c r="M207" s="78"/>
      <c r="N207" s="74"/>
      <c r="O207" s="74"/>
      <c r="P207" s="74"/>
      <c r="Q207" s="74"/>
      <c r="R207" s="74"/>
      <c r="S207" s="74"/>
      <c r="T207" s="74"/>
      <c r="U207" s="74"/>
      <c r="V207" s="74"/>
    </row>
    <row r="208" spans="1:22" ht="15">
      <c r="A208" s="84" t="s">
        <v>478</v>
      </c>
      <c r="B208" s="85" t="s">
        <v>414</v>
      </c>
      <c r="C208" s="41">
        <f t="shared" si="29"/>
        <v>9.77</v>
      </c>
      <c r="D208" s="85">
        <v>63.69</v>
      </c>
      <c r="E208" s="85">
        <v>175</v>
      </c>
      <c r="F208" s="85">
        <v>71</v>
      </c>
      <c r="G208" s="85">
        <v>120</v>
      </c>
      <c r="H208" s="38">
        <v>1</v>
      </c>
      <c r="I208" s="38">
        <v>125</v>
      </c>
      <c r="J208" s="67">
        <v>2</v>
      </c>
      <c r="K208" s="85">
        <v>298</v>
      </c>
      <c r="L208" s="86" t="s">
        <v>476</v>
      </c>
      <c r="M208" s="78"/>
      <c r="N208" s="74"/>
      <c r="O208" s="74"/>
      <c r="P208" s="74"/>
      <c r="Q208" s="74"/>
      <c r="R208" s="74"/>
      <c r="S208" s="74"/>
      <c r="T208" s="74"/>
      <c r="U208" s="74"/>
      <c r="V208" s="74"/>
    </row>
    <row r="209" spans="1:42" ht="15">
      <c r="A209" s="84" t="s">
        <v>478</v>
      </c>
      <c r="B209" s="85" t="s">
        <v>334</v>
      </c>
      <c r="C209" s="41">
        <v>1.3</v>
      </c>
      <c r="D209" s="85">
        <v>0.22</v>
      </c>
      <c r="E209" s="85">
        <v>11.78</v>
      </c>
      <c r="F209" s="85">
        <v>99.253</v>
      </c>
      <c r="G209" s="85">
        <v>135</v>
      </c>
      <c r="H209" s="38">
        <v>1</v>
      </c>
      <c r="I209" s="38">
        <v>125</v>
      </c>
      <c r="J209" s="67">
        <v>6</v>
      </c>
      <c r="K209" s="85">
        <v>299</v>
      </c>
      <c r="L209" s="86" t="s">
        <v>476</v>
      </c>
      <c r="M209" s="78"/>
      <c r="N209" s="74"/>
      <c r="O209" s="74"/>
      <c r="P209" s="74"/>
      <c r="Q209" s="74"/>
      <c r="R209" s="74"/>
      <c r="S209" s="74"/>
      <c r="T209" s="74"/>
      <c r="U209" s="74"/>
      <c r="V209" s="74"/>
    </row>
    <row r="210" spans="1:42" ht="15">
      <c r="A210" s="84" t="s">
        <v>478</v>
      </c>
      <c r="B210" s="85" t="s">
        <v>200</v>
      </c>
      <c r="C210" s="41">
        <v>1.3</v>
      </c>
      <c r="D210" s="85">
        <v>0.1</v>
      </c>
      <c r="E210" s="85">
        <v>5.43</v>
      </c>
      <c r="F210" s="85">
        <v>98.177000000000007</v>
      </c>
      <c r="G210" s="85">
        <v>135</v>
      </c>
      <c r="H210" s="38">
        <v>1</v>
      </c>
      <c r="I210" s="38">
        <v>125</v>
      </c>
      <c r="J210" s="67">
        <v>6</v>
      </c>
      <c r="K210" s="85">
        <v>299</v>
      </c>
      <c r="L210" s="86" t="s">
        <v>476</v>
      </c>
      <c r="M210" s="78"/>
      <c r="N210" s="74"/>
      <c r="O210" s="74"/>
      <c r="P210" s="74"/>
      <c r="Q210" s="74"/>
      <c r="R210" s="74"/>
      <c r="S210" s="74"/>
      <c r="T210" s="74"/>
      <c r="U210" s="74"/>
      <c r="V210" s="74"/>
    </row>
    <row r="211" spans="1:42" ht="15">
      <c r="A211" s="84" t="s">
        <v>478</v>
      </c>
      <c r="B211" s="85" t="s">
        <v>258</v>
      </c>
      <c r="C211" s="41">
        <v>1.3</v>
      </c>
      <c r="D211" s="85">
        <v>2.9000000000000001E-2</v>
      </c>
      <c r="E211" s="85">
        <v>1.74</v>
      </c>
      <c r="F211" s="85">
        <v>96.953999999999994</v>
      </c>
      <c r="G211" s="85">
        <v>135</v>
      </c>
      <c r="H211" s="38">
        <v>1</v>
      </c>
      <c r="I211" s="38">
        <v>125</v>
      </c>
      <c r="J211" s="67">
        <v>6</v>
      </c>
      <c r="K211" s="85">
        <v>299</v>
      </c>
      <c r="L211" s="86" t="s">
        <v>476</v>
      </c>
      <c r="M211" s="78"/>
      <c r="N211" s="74"/>
      <c r="O211" s="74"/>
      <c r="P211" s="74"/>
      <c r="Q211" s="74"/>
      <c r="R211" s="74"/>
      <c r="S211" s="74"/>
      <c r="T211" s="74"/>
      <c r="U211" s="74"/>
      <c r="V211" s="74"/>
    </row>
    <row r="212" spans="1:42" ht="15">
      <c r="A212" s="84" t="s">
        <v>140</v>
      </c>
      <c r="B212" s="85" t="s">
        <v>44</v>
      </c>
      <c r="C212" s="41">
        <f t="shared" ref="C212:C219" si="30">ROUND(D212 * 6.022 * PI() * (0.69)^2 / 58.69, 2)</f>
        <v>2.58</v>
      </c>
      <c r="D212" s="85">
        <v>16.809999999999999</v>
      </c>
      <c r="E212" s="85">
        <v>100</v>
      </c>
      <c r="F212" s="85">
        <v>92</v>
      </c>
      <c r="G212" s="85">
        <v>25</v>
      </c>
      <c r="H212" s="38">
        <v>1</v>
      </c>
      <c r="I212" s="38">
        <v>125</v>
      </c>
      <c r="J212" s="67">
        <v>5</v>
      </c>
      <c r="K212" s="85">
        <v>293</v>
      </c>
      <c r="L212" s="87" t="s">
        <v>476</v>
      </c>
      <c r="M212" s="78"/>
      <c r="N212" s="74"/>
      <c r="O212" s="74"/>
      <c r="P212" s="74"/>
      <c r="Q212" s="74"/>
      <c r="R212" s="74"/>
      <c r="S212" s="74"/>
      <c r="T212" s="74"/>
      <c r="U212" s="74"/>
      <c r="V212" s="74"/>
    </row>
    <row r="213" spans="1:42" ht="15">
      <c r="A213" s="84" t="s">
        <v>140</v>
      </c>
      <c r="B213" s="85" t="s">
        <v>110</v>
      </c>
      <c r="C213" s="41">
        <f t="shared" si="30"/>
        <v>7.21</v>
      </c>
      <c r="D213" s="85">
        <v>47</v>
      </c>
      <c r="E213" s="85">
        <v>2500</v>
      </c>
      <c r="F213" s="85">
        <v>97.5</v>
      </c>
      <c r="G213" s="85">
        <v>30</v>
      </c>
      <c r="H213" s="38">
        <v>1</v>
      </c>
      <c r="I213" s="38">
        <v>125</v>
      </c>
      <c r="J213" s="67">
        <v>4</v>
      </c>
      <c r="K213" s="85">
        <v>298</v>
      </c>
      <c r="L213" s="86" t="s">
        <v>476</v>
      </c>
      <c r="M213" s="78"/>
      <c r="N213" s="74"/>
      <c r="O213" s="74"/>
      <c r="P213" s="74"/>
      <c r="Q213" s="74"/>
      <c r="R213" s="74"/>
      <c r="S213" s="74"/>
      <c r="T213" s="74"/>
      <c r="U213" s="74"/>
      <c r="V213" s="74"/>
    </row>
    <row r="214" spans="1:42" ht="15">
      <c r="A214" s="84" t="s">
        <v>140</v>
      </c>
      <c r="B214" s="85" t="s">
        <v>414</v>
      </c>
      <c r="C214" s="41">
        <f t="shared" si="30"/>
        <v>0.5</v>
      </c>
      <c r="D214" s="85">
        <v>3.27</v>
      </c>
      <c r="E214" s="85">
        <v>2.89</v>
      </c>
      <c r="F214" s="85">
        <v>96</v>
      </c>
      <c r="G214" s="85">
        <v>240</v>
      </c>
      <c r="H214" s="38">
        <v>1</v>
      </c>
      <c r="I214" s="38">
        <v>125</v>
      </c>
      <c r="J214" s="67">
        <v>3.5</v>
      </c>
      <c r="K214" s="85">
        <v>300</v>
      </c>
      <c r="L214" s="86" t="s">
        <v>476</v>
      </c>
      <c r="M214" s="78"/>
      <c r="N214" s="74"/>
      <c r="O214" s="74"/>
      <c r="P214" s="74"/>
      <c r="Q214" s="74"/>
      <c r="R214" s="74"/>
      <c r="S214" s="74"/>
      <c r="T214" s="74"/>
      <c r="U214" s="74"/>
      <c r="V214" s="74"/>
    </row>
    <row r="215" spans="1:42" ht="15">
      <c r="A215" s="84" t="s">
        <v>140</v>
      </c>
      <c r="B215" s="85" t="s">
        <v>479</v>
      </c>
      <c r="C215" s="41">
        <f t="shared" si="30"/>
        <v>0.32</v>
      </c>
      <c r="D215" s="85">
        <v>2.1</v>
      </c>
      <c r="E215" s="85">
        <v>250</v>
      </c>
      <c r="F215" s="85">
        <v>99</v>
      </c>
      <c r="G215" s="85">
        <v>60</v>
      </c>
      <c r="H215" s="38">
        <v>1</v>
      </c>
      <c r="I215" s="38">
        <v>125</v>
      </c>
      <c r="J215" s="67">
        <v>5</v>
      </c>
      <c r="K215" s="85">
        <v>300</v>
      </c>
      <c r="L215" s="86" t="s">
        <v>476</v>
      </c>
      <c r="M215" s="78"/>
      <c r="N215" s="74"/>
      <c r="O215" s="74"/>
      <c r="P215" s="74"/>
      <c r="Q215" s="74"/>
      <c r="R215" s="74"/>
      <c r="S215" s="74"/>
      <c r="T215" s="74"/>
      <c r="U215" s="74"/>
      <c r="V215" s="74"/>
    </row>
    <row r="216" spans="1:42" ht="15">
      <c r="A216" s="84" t="s">
        <v>140</v>
      </c>
      <c r="B216" s="85" t="s">
        <v>292</v>
      </c>
      <c r="C216" s="41">
        <f t="shared" si="30"/>
        <v>1.7</v>
      </c>
      <c r="D216" s="85">
        <v>11.1</v>
      </c>
      <c r="E216" s="85">
        <v>75</v>
      </c>
      <c r="F216" s="85">
        <v>66.099999999999994</v>
      </c>
      <c r="G216" s="85">
        <v>60</v>
      </c>
      <c r="H216" s="38">
        <v>1</v>
      </c>
      <c r="I216" s="38">
        <v>125</v>
      </c>
      <c r="J216" s="67">
        <v>3.5</v>
      </c>
      <c r="K216" s="85">
        <v>298</v>
      </c>
      <c r="L216" s="86" t="s">
        <v>476</v>
      </c>
      <c r="M216" s="78"/>
      <c r="N216" s="74"/>
      <c r="O216" s="74"/>
      <c r="P216" s="74"/>
      <c r="Q216" s="74"/>
      <c r="R216" s="74"/>
      <c r="S216" s="74"/>
      <c r="T216" s="74"/>
      <c r="U216" s="74"/>
      <c r="V216" s="74"/>
    </row>
    <row r="217" spans="1:42" ht="15">
      <c r="A217" s="84" t="s">
        <v>140</v>
      </c>
      <c r="B217" s="85" t="s">
        <v>258</v>
      </c>
      <c r="C217" s="41">
        <f t="shared" si="30"/>
        <v>3.78</v>
      </c>
      <c r="D217" s="85">
        <v>24.65</v>
      </c>
      <c r="E217" s="85">
        <v>20</v>
      </c>
      <c r="F217" s="85">
        <v>99</v>
      </c>
      <c r="G217" s="85">
        <v>60</v>
      </c>
      <c r="H217" s="38">
        <v>1</v>
      </c>
      <c r="I217" s="38">
        <v>125</v>
      </c>
      <c r="J217" s="67">
        <v>7.5</v>
      </c>
      <c r="K217" s="85">
        <v>298</v>
      </c>
      <c r="L217" s="86" t="s">
        <v>476</v>
      </c>
      <c r="M217" s="78"/>
      <c r="N217" s="74"/>
      <c r="O217" s="74"/>
      <c r="P217" s="74"/>
      <c r="Q217" s="74"/>
      <c r="R217" s="74"/>
      <c r="S217" s="74"/>
      <c r="T217" s="74"/>
      <c r="U217" s="74"/>
      <c r="V217" s="74"/>
    </row>
    <row r="218" spans="1:42" ht="15">
      <c r="A218" s="84" t="s">
        <v>140</v>
      </c>
      <c r="B218" s="85" t="s">
        <v>349</v>
      </c>
      <c r="C218" s="41">
        <f t="shared" si="30"/>
        <v>2.5099999999999998</v>
      </c>
      <c r="D218" s="85">
        <v>16.353999999999999</v>
      </c>
      <c r="E218" s="85">
        <v>294</v>
      </c>
      <c r="F218" s="85">
        <v>90</v>
      </c>
      <c r="G218" s="85">
        <v>420</v>
      </c>
      <c r="H218" s="38">
        <v>1</v>
      </c>
      <c r="I218" s="38">
        <v>125</v>
      </c>
      <c r="J218" s="67">
        <v>5.5</v>
      </c>
      <c r="K218" s="85">
        <v>298</v>
      </c>
      <c r="L218" s="86" t="s">
        <v>476</v>
      </c>
      <c r="M218" s="78"/>
      <c r="N218" s="74"/>
      <c r="O218" s="74"/>
      <c r="P218" s="74"/>
      <c r="Q218" s="74"/>
      <c r="R218" s="74"/>
      <c r="S218" s="74"/>
      <c r="T218" s="74"/>
      <c r="U218" s="74"/>
      <c r="V218" s="74"/>
    </row>
    <row r="219" spans="1:42" ht="15">
      <c r="A219" s="84" t="s">
        <v>140</v>
      </c>
      <c r="B219" s="85" t="s">
        <v>283</v>
      </c>
      <c r="C219" s="41">
        <f t="shared" si="30"/>
        <v>4.3899999999999997</v>
      </c>
      <c r="D219" s="85">
        <v>28.6</v>
      </c>
      <c r="E219" s="85">
        <v>20</v>
      </c>
      <c r="F219" s="85">
        <v>99</v>
      </c>
      <c r="G219" s="85">
        <v>30</v>
      </c>
      <c r="H219" s="38">
        <v>1</v>
      </c>
      <c r="I219" s="38">
        <v>125</v>
      </c>
      <c r="J219" s="67">
        <v>7.5</v>
      </c>
      <c r="K219" s="85">
        <v>298</v>
      </c>
      <c r="L219" s="86" t="s">
        <v>476</v>
      </c>
      <c r="M219" s="78"/>
      <c r="N219" s="74"/>
      <c r="O219" s="74"/>
      <c r="P219" s="74"/>
      <c r="Q219" s="74"/>
      <c r="R219" s="74"/>
      <c r="S219" s="74"/>
      <c r="T219" s="74"/>
      <c r="U219" s="74"/>
      <c r="V219" s="74"/>
    </row>
    <row r="220" spans="1:42" ht="15">
      <c r="A220" s="88" t="s">
        <v>480</v>
      </c>
      <c r="B220" s="89" t="s">
        <v>44</v>
      </c>
      <c r="C220" s="89">
        <v>9.6</v>
      </c>
      <c r="D220" s="89">
        <v>33.9</v>
      </c>
      <c r="E220" s="89">
        <v>50</v>
      </c>
      <c r="F220" s="89">
        <v>85</v>
      </c>
      <c r="G220" s="89">
        <v>180</v>
      </c>
      <c r="H220" s="90">
        <v>2</v>
      </c>
      <c r="I220" s="91">
        <v>250</v>
      </c>
      <c r="J220" s="91">
        <v>6</v>
      </c>
      <c r="K220" s="90">
        <v>298</v>
      </c>
      <c r="L220" s="92" t="s">
        <v>481</v>
      </c>
      <c r="M220" s="93" t="s">
        <v>482</v>
      </c>
      <c r="N220" s="74"/>
      <c r="O220" s="74"/>
      <c r="P220" s="74"/>
      <c r="Q220" s="74"/>
      <c r="R220" s="74"/>
      <c r="S220" s="74"/>
      <c r="T220" s="74"/>
      <c r="U220" s="74"/>
      <c r="V220" s="74"/>
    </row>
    <row r="221" spans="1:42" ht="15">
      <c r="A221" s="94" t="s">
        <v>483</v>
      </c>
      <c r="B221" s="95" t="s">
        <v>44</v>
      </c>
      <c r="C221" s="41">
        <f>ROUND(D221 * 6.022 * PI() * (0.69)^2 / 58.69, 2)</f>
        <v>14.03</v>
      </c>
      <c r="D221" s="96">
        <v>91.4</v>
      </c>
      <c r="E221" s="95">
        <v>200</v>
      </c>
      <c r="F221" s="95">
        <v>80</v>
      </c>
      <c r="G221" s="96">
        <v>180</v>
      </c>
      <c r="H221" s="96">
        <v>1</v>
      </c>
      <c r="I221" s="97">
        <v>300</v>
      </c>
      <c r="J221" s="97">
        <v>6</v>
      </c>
      <c r="K221" s="96">
        <v>298</v>
      </c>
      <c r="L221" s="98" t="s">
        <v>484</v>
      </c>
      <c r="M221" s="61" t="s">
        <v>485</v>
      </c>
      <c r="N221" s="74"/>
      <c r="O221" s="74"/>
      <c r="P221" s="74"/>
      <c r="Q221" s="74"/>
      <c r="R221" s="74"/>
      <c r="S221" s="74"/>
      <c r="T221" s="74"/>
      <c r="U221" s="74"/>
      <c r="V221" s="74"/>
    </row>
    <row r="222" spans="1:42" ht="15">
      <c r="A222" s="94" t="s">
        <v>486</v>
      </c>
      <c r="B222" s="95" t="s">
        <v>44</v>
      </c>
      <c r="C222" s="97">
        <v>1.1000000000000001</v>
      </c>
      <c r="D222" s="96">
        <v>96.66</v>
      </c>
      <c r="E222" s="95">
        <v>50</v>
      </c>
      <c r="F222" s="95">
        <v>99.73</v>
      </c>
      <c r="G222" s="96">
        <v>60</v>
      </c>
      <c r="H222" s="96">
        <v>4</v>
      </c>
      <c r="I222" s="99">
        <v>150</v>
      </c>
      <c r="J222" s="97">
        <v>6</v>
      </c>
      <c r="K222" s="96">
        <v>298</v>
      </c>
      <c r="L222" s="98" t="s">
        <v>487</v>
      </c>
      <c r="M222" s="61" t="s">
        <v>488</v>
      </c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</row>
    <row r="223" spans="1:42" ht="15">
      <c r="A223" s="94" t="s">
        <v>489</v>
      </c>
      <c r="B223" s="95" t="s">
        <v>44</v>
      </c>
      <c r="C223" s="95">
        <v>0.49</v>
      </c>
      <c r="D223" s="96">
        <v>79.900000000000006</v>
      </c>
      <c r="E223" s="95">
        <v>20</v>
      </c>
      <c r="F223" s="95">
        <v>97</v>
      </c>
      <c r="G223" s="96">
        <v>100</v>
      </c>
      <c r="H223" s="96">
        <v>1</v>
      </c>
      <c r="I223" s="38">
        <v>150</v>
      </c>
      <c r="J223" s="97">
        <v>6</v>
      </c>
      <c r="K223" s="96">
        <v>298</v>
      </c>
      <c r="L223" s="98" t="s">
        <v>490</v>
      </c>
      <c r="M223" s="61" t="s">
        <v>491</v>
      </c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4"/>
      <c r="AB223" s="74"/>
      <c r="AC223" s="74"/>
      <c r="AD223" s="74"/>
    </row>
    <row r="224" spans="1:42" ht="15">
      <c r="A224" s="94" t="s">
        <v>492</v>
      </c>
      <c r="B224" s="95" t="s">
        <v>44</v>
      </c>
      <c r="C224" s="41">
        <f>ROUND(D224 * 6.022 * PI() * (0.69)^2 / 58.69, 2)</f>
        <v>18.28</v>
      </c>
      <c r="D224" s="96">
        <v>119.1</v>
      </c>
      <c r="E224" s="95">
        <v>200</v>
      </c>
      <c r="F224" s="95">
        <v>96</v>
      </c>
      <c r="G224" s="96">
        <v>120</v>
      </c>
      <c r="H224" s="95">
        <v>2</v>
      </c>
      <c r="I224" s="38">
        <v>200</v>
      </c>
      <c r="J224" s="97">
        <v>6</v>
      </c>
      <c r="K224" s="96">
        <v>298</v>
      </c>
      <c r="L224" s="98" t="s">
        <v>493</v>
      </c>
      <c r="M224" s="61" t="s">
        <v>494</v>
      </c>
      <c r="N224" s="74"/>
      <c r="O224" s="74"/>
      <c r="P224" s="74"/>
      <c r="Q224" s="74"/>
      <c r="R224" s="74"/>
      <c r="S224" s="74"/>
      <c r="T224" s="74"/>
      <c r="U224" s="74"/>
      <c r="V224" s="74"/>
      <c r="W224" s="74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  <c r="AI224" s="74"/>
      <c r="AJ224" s="74"/>
      <c r="AK224" s="74"/>
      <c r="AL224" s="74"/>
      <c r="AM224" s="74"/>
      <c r="AN224" s="74"/>
      <c r="AO224" s="74"/>
      <c r="AP224" s="74"/>
    </row>
    <row r="225" spans="1:42" ht="15">
      <c r="A225" s="94" t="s">
        <v>495</v>
      </c>
      <c r="B225" s="95" t="s">
        <v>44</v>
      </c>
      <c r="C225" s="95">
        <v>3.13</v>
      </c>
      <c r="D225" s="96">
        <v>208.3</v>
      </c>
      <c r="E225" s="100">
        <v>30</v>
      </c>
      <c r="F225" s="95">
        <v>100</v>
      </c>
      <c r="G225" s="96">
        <v>120</v>
      </c>
      <c r="H225" s="96">
        <v>0.6</v>
      </c>
      <c r="I225" s="38">
        <v>150</v>
      </c>
      <c r="J225" s="97">
        <v>5</v>
      </c>
      <c r="K225" s="96">
        <v>323</v>
      </c>
      <c r="L225" s="98" t="s">
        <v>496</v>
      </c>
      <c r="M225" s="61" t="s">
        <v>497</v>
      </c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</row>
    <row r="226" spans="1:42" ht="15">
      <c r="A226" s="94" t="s">
        <v>498</v>
      </c>
      <c r="B226" s="95" t="s">
        <v>44</v>
      </c>
      <c r="C226" s="95">
        <v>130.75</v>
      </c>
      <c r="D226" s="96">
        <v>235</v>
      </c>
      <c r="E226" s="95">
        <v>10</v>
      </c>
      <c r="F226" s="95">
        <v>98.3</v>
      </c>
      <c r="G226" s="96">
        <v>50</v>
      </c>
      <c r="H226" s="96">
        <v>0.5</v>
      </c>
      <c r="I226" s="38">
        <v>150</v>
      </c>
      <c r="J226" s="97">
        <v>5.8</v>
      </c>
      <c r="K226" s="96">
        <v>298</v>
      </c>
      <c r="L226" s="98" t="s">
        <v>499</v>
      </c>
      <c r="M226" s="61" t="s">
        <v>500</v>
      </c>
      <c r="N226" s="74"/>
      <c r="O226" s="74"/>
      <c r="P226" s="74"/>
      <c r="Q226" s="74"/>
      <c r="R226" s="74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</row>
    <row r="227" spans="1:42" ht="15">
      <c r="A227" s="94" t="s">
        <v>501</v>
      </c>
      <c r="B227" s="95" t="s">
        <v>44</v>
      </c>
      <c r="C227" s="101">
        <v>2.14</v>
      </c>
      <c r="D227" s="96">
        <v>250</v>
      </c>
      <c r="E227" s="101">
        <v>30</v>
      </c>
      <c r="F227" s="101">
        <v>98.66</v>
      </c>
      <c r="G227" s="96">
        <v>240</v>
      </c>
      <c r="H227" s="101">
        <v>0.8</v>
      </c>
      <c r="I227" s="38">
        <v>150</v>
      </c>
      <c r="J227" s="97">
        <v>5</v>
      </c>
      <c r="K227" s="96">
        <v>323</v>
      </c>
      <c r="L227" s="98" t="s">
        <v>502</v>
      </c>
      <c r="M227" s="61" t="s">
        <v>503</v>
      </c>
      <c r="N227" s="74"/>
      <c r="O227" s="74"/>
      <c r="P227" s="74"/>
      <c r="Q227" s="74"/>
      <c r="R227" s="74"/>
      <c r="S227" s="74"/>
      <c r="T227" s="74"/>
      <c r="U227" s="74"/>
      <c r="V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</row>
    <row r="228" spans="1:42" ht="15">
      <c r="A228" s="94" t="s">
        <v>504</v>
      </c>
      <c r="B228" s="95" t="s">
        <v>44</v>
      </c>
      <c r="C228" s="101">
        <v>174.88499999999999</v>
      </c>
      <c r="D228" s="96">
        <v>588.24</v>
      </c>
      <c r="E228" s="101">
        <v>100</v>
      </c>
      <c r="F228" s="101">
        <v>79</v>
      </c>
      <c r="G228" s="96">
        <v>240</v>
      </c>
      <c r="H228" s="101">
        <v>40</v>
      </c>
      <c r="I228" s="38">
        <v>200</v>
      </c>
      <c r="J228" s="97">
        <v>5</v>
      </c>
      <c r="K228" s="102">
        <v>298</v>
      </c>
      <c r="L228" s="98" t="s">
        <v>505</v>
      </c>
      <c r="M228" s="61" t="s">
        <v>506</v>
      </c>
      <c r="N228" s="74"/>
      <c r="O228" s="74"/>
      <c r="P228" s="74"/>
      <c r="Q228" s="74"/>
      <c r="R228" s="74"/>
      <c r="S228" s="74"/>
      <c r="T228" s="74"/>
      <c r="U228" s="74"/>
      <c r="V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</row>
    <row r="229" spans="1:42" ht="15">
      <c r="A229" s="94" t="s">
        <v>507</v>
      </c>
      <c r="B229" s="95" t="s">
        <v>44</v>
      </c>
      <c r="C229" s="95">
        <v>17</v>
      </c>
      <c r="D229" s="96">
        <v>630</v>
      </c>
      <c r="E229" s="95">
        <v>400</v>
      </c>
      <c r="F229" s="96">
        <v>93.7</v>
      </c>
      <c r="G229" s="96">
        <v>60</v>
      </c>
      <c r="H229" s="95">
        <v>0.4</v>
      </c>
      <c r="I229" s="38">
        <v>180</v>
      </c>
      <c r="J229" s="97">
        <v>5</v>
      </c>
      <c r="K229" s="96">
        <v>303</v>
      </c>
      <c r="L229" s="96" t="s">
        <v>508</v>
      </c>
      <c r="M229" s="61" t="s">
        <v>509</v>
      </c>
      <c r="N229" s="74"/>
      <c r="O229" s="74"/>
      <c r="P229" s="74"/>
      <c r="Q229" s="74"/>
      <c r="R229" s="74"/>
      <c r="S229" s="74"/>
      <c r="T229" s="74"/>
      <c r="U229" s="74"/>
      <c r="V229" s="74"/>
    </row>
    <row r="230" spans="1:42" ht="15">
      <c r="A230" s="94" t="s">
        <v>510</v>
      </c>
      <c r="B230" s="95" t="s">
        <v>44</v>
      </c>
      <c r="C230" s="95">
        <v>186</v>
      </c>
      <c r="D230" s="96">
        <v>952</v>
      </c>
      <c r="E230" s="95">
        <v>1000</v>
      </c>
      <c r="F230" s="95">
        <v>98</v>
      </c>
      <c r="G230" s="96">
        <v>300</v>
      </c>
      <c r="H230" s="96">
        <v>0.6</v>
      </c>
      <c r="I230" s="38">
        <v>150</v>
      </c>
      <c r="J230" s="97">
        <v>7</v>
      </c>
      <c r="K230" s="96">
        <v>293</v>
      </c>
      <c r="L230" s="98" t="s">
        <v>511</v>
      </c>
      <c r="M230" s="61" t="s">
        <v>512</v>
      </c>
      <c r="N230" s="74"/>
      <c r="O230" s="74"/>
      <c r="P230" s="74"/>
      <c r="Q230" s="74"/>
      <c r="R230" s="74"/>
      <c r="S230" s="74"/>
      <c r="T230" s="74"/>
      <c r="U230" s="74"/>
      <c r="V230" s="74"/>
    </row>
    <row r="231" spans="1:42" ht="15">
      <c r="A231" s="94" t="s">
        <v>513</v>
      </c>
      <c r="B231" s="95" t="s">
        <v>44</v>
      </c>
      <c r="C231" s="95">
        <v>459.3</v>
      </c>
      <c r="D231" s="95">
        <v>1259</v>
      </c>
      <c r="E231" s="95">
        <v>400</v>
      </c>
      <c r="F231" s="95">
        <v>90</v>
      </c>
      <c r="G231" s="102">
        <v>30</v>
      </c>
      <c r="H231" s="95">
        <v>1</v>
      </c>
      <c r="I231" s="38">
        <v>4000</v>
      </c>
      <c r="J231" s="97">
        <v>5</v>
      </c>
      <c r="K231" s="96">
        <v>298</v>
      </c>
      <c r="L231" s="98" t="s">
        <v>514</v>
      </c>
      <c r="M231" s="61" t="s">
        <v>515</v>
      </c>
      <c r="N231" s="74"/>
      <c r="O231" s="74"/>
      <c r="P231" s="74"/>
      <c r="Q231" s="74"/>
      <c r="R231" s="74"/>
      <c r="S231" s="74"/>
      <c r="T231" s="74"/>
      <c r="U231" s="74"/>
      <c r="V231" s="74"/>
    </row>
    <row r="232" spans="1:42" ht="15">
      <c r="A232" s="94" t="s">
        <v>516</v>
      </c>
      <c r="B232" s="95" t="s">
        <v>44</v>
      </c>
      <c r="C232" s="95">
        <v>0.81089999999999995</v>
      </c>
      <c r="D232" s="96">
        <v>365.43</v>
      </c>
      <c r="E232" s="95">
        <v>210</v>
      </c>
      <c r="F232" s="95">
        <v>98</v>
      </c>
      <c r="G232" s="96">
        <v>120</v>
      </c>
      <c r="H232" s="95">
        <v>0.5</v>
      </c>
      <c r="I232" s="97">
        <v>150</v>
      </c>
      <c r="J232" s="97">
        <v>5</v>
      </c>
      <c r="K232" s="96">
        <v>328</v>
      </c>
      <c r="L232" s="98" t="s">
        <v>517</v>
      </c>
      <c r="M232" s="61" t="s">
        <v>518</v>
      </c>
      <c r="N232" s="74"/>
      <c r="O232" s="74"/>
      <c r="P232" s="74"/>
      <c r="Q232" s="74"/>
      <c r="R232" s="74"/>
      <c r="S232" s="74"/>
      <c r="T232" s="74"/>
      <c r="U232" s="74"/>
      <c r="V232" s="74"/>
    </row>
    <row r="233" spans="1:42" ht="15">
      <c r="A233" s="103" t="s">
        <v>519</v>
      </c>
      <c r="B233" s="95" t="s">
        <v>44</v>
      </c>
      <c r="C233" s="95">
        <v>22.3</v>
      </c>
      <c r="D233" s="96">
        <v>188</v>
      </c>
      <c r="E233" s="95">
        <v>20</v>
      </c>
      <c r="F233" s="95">
        <v>99</v>
      </c>
      <c r="G233" s="96">
        <v>30</v>
      </c>
      <c r="H233" s="95">
        <v>0.01</v>
      </c>
      <c r="I233" s="97">
        <v>100</v>
      </c>
      <c r="J233" s="97">
        <v>5</v>
      </c>
      <c r="K233" s="96">
        <v>298</v>
      </c>
      <c r="L233" s="98" t="s">
        <v>520</v>
      </c>
      <c r="M233" s="61" t="s">
        <v>521</v>
      </c>
      <c r="N233" s="74"/>
      <c r="O233" s="74"/>
      <c r="P233" s="74"/>
      <c r="Q233" s="74"/>
      <c r="R233" s="74"/>
      <c r="S233" s="74"/>
      <c r="T233" s="74"/>
      <c r="U233" s="74"/>
      <c r="V233" s="74"/>
    </row>
    <row r="234" spans="1:42" ht="15">
      <c r="A234" s="94" t="s">
        <v>522</v>
      </c>
      <c r="B234" s="96" t="s">
        <v>342</v>
      </c>
      <c r="C234" s="41">
        <f t="shared" ref="C234:C235" si="31">ROUND(D234 * 6.022 * PI() * (0.44)^2 / 52, 2)</f>
        <v>14</v>
      </c>
      <c r="D234" s="96">
        <v>198.7</v>
      </c>
      <c r="E234" s="97" t="s">
        <v>523</v>
      </c>
      <c r="F234" s="96">
        <v>99.35</v>
      </c>
      <c r="G234" s="102">
        <v>10</v>
      </c>
      <c r="H234" s="95">
        <v>0.1</v>
      </c>
      <c r="I234" s="38">
        <v>9000</v>
      </c>
      <c r="J234" s="96">
        <v>2</v>
      </c>
      <c r="K234" s="96">
        <v>298</v>
      </c>
      <c r="L234" s="98" t="s">
        <v>524</v>
      </c>
      <c r="M234" s="61" t="s">
        <v>525</v>
      </c>
      <c r="N234" s="74"/>
      <c r="O234" s="74"/>
      <c r="P234" s="74"/>
      <c r="Q234" s="74"/>
      <c r="R234" s="74"/>
      <c r="S234" s="74"/>
      <c r="T234" s="74"/>
      <c r="U234" s="74"/>
      <c r="V234" s="74"/>
    </row>
    <row r="235" spans="1:42" ht="15">
      <c r="A235" s="94" t="s">
        <v>526</v>
      </c>
      <c r="B235" s="96" t="s">
        <v>342</v>
      </c>
      <c r="C235" s="41">
        <f t="shared" si="31"/>
        <v>25.98</v>
      </c>
      <c r="D235" s="96">
        <v>368.78</v>
      </c>
      <c r="E235" s="104">
        <v>200</v>
      </c>
      <c r="F235" s="95">
        <v>90</v>
      </c>
      <c r="G235" s="96">
        <v>1440</v>
      </c>
      <c r="H235" s="95">
        <v>1</v>
      </c>
      <c r="I235" s="105">
        <v>300</v>
      </c>
      <c r="J235" s="96">
        <v>2</v>
      </c>
      <c r="K235" s="96">
        <v>298</v>
      </c>
      <c r="L235" s="98" t="s">
        <v>527</v>
      </c>
      <c r="M235" s="61" t="s">
        <v>528</v>
      </c>
      <c r="N235" s="74"/>
      <c r="O235" s="74"/>
      <c r="P235" s="74"/>
      <c r="Q235" s="74"/>
      <c r="R235" s="74"/>
      <c r="S235" s="74"/>
      <c r="T235" s="74"/>
      <c r="U235" s="74"/>
      <c r="V235" s="74"/>
      <c r="W235" s="74"/>
      <c r="X235" s="74"/>
    </row>
    <row r="236" spans="1:42" ht="15">
      <c r="A236" s="94" t="s">
        <v>529</v>
      </c>
      <c r="B236" s="96" t="s">
        <v>342</v>
      </c>
      <c r="C236" s="97">
        <v>66.906700000000001</v>
      </c>
      <c r="D236" s="96">
        <v>1743.9</v>
      </c>
      <c r="E236" s="97">
        <v>300</v>
      </c>
      <c r="F236" s="97">
        <v>88</v>
      </c>
      <c r="G236" s="96">
        <v>1080</v>
      </c>
      <c r="H236" s="100">
        <v>0.33</v>
      </c>
      <c r="I236" s="97">
        <v>100</v>
      </c>
      <c r="J236" s="96">
        <v>2</v>
      </c>
      <c r="K236" s="96">
        <v>328</v>
      </c>
      <c r="L236" s="96" t="s">
        <v>530</v>
      </c>
      <c r="M236" s="61" t="s">
        <v>531</v>
      </c>
      <c r="N236" s="74"/>
      <c r="O236" s="74"/>
      <c r="P236" s="74"/>
      <c r="Q236" s="74"/>
      <c r="R236" s="74"/>
      <c r="S236" s="74"/>
      <c r="T236" s="74"/>
      <c r="U236" s="74"/>
      <c r="V236" s="74"/>
      <c r="W236" s="74"/>
      <c r="X236" s="74"/>
      <c r="Y236" s="74"/>
      <c r="Z236" s="74"/>
      <c r="AA236" s="74"/>
      <c r="AB236" s="74"/>
      <c r="AC236" s="74"/>
      <c r="AD236" s="74"/>
    </row>
    <row r="237" spans="1:42" ht="15">
      <c r="A237" s="94" t="s">
        <v>532</v>
      </c>
      <c r="B237" s="96" t="s">
        <v>342</v>
      </c>
      <c r="C237" s="41">
        <f t="shared" ref="C237:C239" si="32">ROUND(D237 * 6.022 * PI() * (0.44)^2 / 52, 2)</f>
        <v>24.71</v>
      </c>
      <c r="D237" s="96">
        <v>350.87</v>
      </c>
      <c r="E237" s="97">
        <v>250</v>
      </c>
      <c r="F237" s="97">
        <v>60</v>
      </c>
      <c r="G237" s="96">
        <v>1440</v>
      </c>
      <c r="H237" s="55">
        <v>0.1</v>
      </c>
      <c r="I237" s="97">
        <v>180</v>
      </c>
      <c r="J237" s="96">
        <v>2</v>
      </c>
      <c r="K237" s="96">
        <v>298</v>
      </c>
      <c r="L237" s="98" t="s">
        <v>533</v>
      </c>
      <c r="M237" s="61" t="s">
        <v>534</v>
      </c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</row>
    <row r="238" spans="1:42" ht="15">
      <c r="A238" s="94" t="s">
        <v>535</v>
      </c>
      <c r="B238" s="96" t="s">
        <v>342</v>
      </c>
      <c r="C238" s="41">
        <f t="shared" si="32"/>
        <v>42.25</v>
      </c>
      <c r="D238" s="96">
        <v>599.9</v>
      </c>
      <c r="E238" s="97">
        <v>120</v>
      </c>
      <c r="F238" s="97">
        <v>90</v>
      </c>
      <c r="G238" s="96">
        <v>160</v>
      </c>
      <c r="H238" s="95">
        <v>0.5</v>
      </c>
      <c r="I238" s="38">
        <v>150</v>
      </c>
      <c r="J238" s="102">
        <v>7</v>
      </c>
      <c r="K238" s="102">
        <v>298</v>
      </c>
      <c r="L238" s="96" t="s">
        <v>536</v>
      </c>
      <c r="M238" s="61" t="s">
        <v>537</v>
      </c>
      <c r="N238" s="74"/>
      <c r="O238" s="74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</row>
    <row r="239" spans="1:42" ht="15">
      <c r="A239" s="94" t="s">
        <v>538</v>
      </c>
      <c r="B239" s="96" t="s">
        <v>342</v>
      </c>
      <c r="C239" s="41">
        <f t="shared" si="32"/>
        <v>46.34</v>
      </c>
      <c r="D239" s="96">
        <v>657.9</v>
      </c>
      <c r="E239" s="97">
        <v>200</v>
      </c>
      <c r="F239" s="97">
        <v>85.44</v>
      </c>
      <c r="G239" s="96">
        <v>1440</v>
      </c>
      <c r="H239" s="95">
        <v>1</v>
      </c>
      <c r="I239" s="97">
        <v>180</v>
      </c>
      <c r="J239" s="96">
        <v>2</v>
      </c>
      <c r="K239" s="96">
        <v>298</v>
      </c>
      <c r="L239" s="98" t="s">
        <v>539</v>
      </c>
      <c r="M239" s="61" t="s">
        <v>540</v>
      </c>
      <c r="N239" s="106"/>
      <c r="O239" s="74"/>
      <c r="P239" s="74"/>
      <c r="Q239" s="74"/>
      <c r="R239" s="74"/>
      <c r="S239" s="74"/>
      <c r="T239" s="74"/>
      <c r="U239" s="74"/>
      <c r="V239" s="74"/>
      <c r="W239" s="74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</row>
    <row r="240" spans="1:42" ht="15">
      <c r="A240" s="94" t="s">
        <v>541</v>
      </c>
      <c r="B240" s="96" t="s">
        <v>342</v>
      </c>
      <c r="C240" s="97">
        <v>20.32</v>
      </c>
      <c r="D240" s="96">
        <v>898.2</v>
      </c>
      <c r="E240" s="97">
        <v>1300</v>
      </c>
      <c r="F240" s="97">
        <v>80.48</v>
      </c>
      <c r="G240" s="96">
        <v>2880</v>
      </c>
      <c r="H240" s="95">
        <v>1</v>
      </c>
      <c r="I240" s="97">
        <v>150</v>
      </c>
      <c r="J240" s="96">
        <v>2</v>
      </c>
      <c r="K240" s="96">
        <v>318</v>
      </c>
      <c r="L240" s="98" t="s">
        <v>542</v>
      </c>
      <c r="M240" s="61" t="s">
        <v>543</v>
      </c>
      <c r="N240" s="106"/>
      <c r="O240" s="74"/>
      <c r="P240" s="74"/>
      <c r="Q240" s="74"/>
      <c r="R240" s="74"/>
      <c r="S240" s="74"/>
      <c r="T240" s="74"/>
      <c r="U240" s="74"/>
      <c r="V240" s="74"/>
      <c r="W240" s="74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</row>
    <row r="241" spans="1:42" ht="15">
      <c r="A241" s="94" t="s">
        <v>544</v>
      </c>
      <c r="B241" s="96" t="s">
        <v>342</v>
      </c>
      <c r="C241" s="41">
        <f>ROUND(D241 * 6.022 * PI() * (0.44)^2 / 52, 2)</f>
        <v>89.09</v>
      </c>
      <c r="D241" s="96">
        <v>1264.8</v>
      </c>
      <c r="E241" s="97">
        <v>50</v>
      </c>
      <c r="F241" s="97">
        <v>95.4</v>
      </c>
      <c r="G241" s="96">
        <v>60</v>
      </c>
      <c r="H241" s="95">
        <v>0.33</v>
      </c>
      <c r="I241" s="97">
        <v>150</v>
      </c>
      <c r="J241" s="96">
        <v>2</v>
      </c>
      <c r="K241" s="96">
        <v>318</v>
      </c>
      <c r="L241" s="98" t="s">
        <v>545</v>
      </c>
      <c r="M241" s="61" t="s">
        <v>546</v>
      </c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</row>
    <row r="242" spans="1:42" ht="15">
      <c r="A242" s="94" t="s">
        <v>547</v>
      </c>
      <c r="B242" s="96" t="s">
        <v>342</v>
      </c>
      <c r="C242" s="97">
        <v>749.16</v>
      </c>
      <c r="D242" s="96">
        <v>887.8</v>
      </c>
      <c r="E242" s="97">
        <v>100</v>
      </c>
      <c r="F242" s="97">
        <v>100</v>
      </c>
      <c r="G242" s="96">
        <v>720</v>
      </c>
      <c r="H242" s="95">
        <v>0.5</v>
      </c>
      <c r="I242" s="38">
        <v>150</v>
      </c>
      <c r="J242" s="96">
        <v>2</v>
      </c>
      <c r="K242" s="96">
        <v>318</v>
      </c>
      <c r="L242" s="98" t="s">
        <v>548</v>
      </c>
      <c r="M242" s="61" t="s">
        <v>549</v>
      </c>
      <c r="O242" s="106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</row>
    <row r="243" spans="1:42" ht="15">
      <c r="A243" s="94" t="s">
        <v>550</v>
      </c>
      <c r="B243" s="96" t="s">
        <v>13</v>
      </c>
      <c r="C243" s="97">
        <v>91</v>
      </c>
      <c r="D243" s="96">
        <v>44.56</v>
      </c>
      <c r="E243" s="97">
        <v>100</v>
      </c>
      <c r="F243" s="97">
        <v>90</v>
      </c>
      <c r="G243" s="96">
        <v>360</v>
      </c>
      <c r="H243" s="95">
        <v>0.5</v>
      </c>
      <c r="I243" s="97">
        <v>150</v>
      </c>
      <c r="J243" s="96">
        <v>5</v>
      </c>
      <c r="K243" s="96">
        <v>298</v>
      </c>
      <c r="L243" s="98" t="s">
        <v>551</v>
      </c>
      <c r="M243" s="61" t="s">
        <v>552</v>
      </c>
      <c r="O243" s="106"/>
      <c r="P243" s="74"/>
      <c r="Q243" s="74"/>
      <c r="R243" s="74"/>
      <c r="S243" s="74"/>
      <c r="T243" s="74"/>
      <c r="U243" s="74"/>
      <c r="V243" s="74"/>
      <c r="W243" s="74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</row>
    <row r="244" spans="1:42" ht="15">
      <c r="A244" s="94" t="s">
        <v>553</v>
      </c>
      <c r="B244" s="96" t="s">
        <v>13</v>
      </c>
      <c r="C244" s="41">
        <v>30.24</v>
      </c>
      <c r="D244" s="96">
        <v>382</v>
      </c>
      <c r="E244" s="97">
        <v>100</v>
      </c>
      <c r="F244" s="97">
        <v>64.099999999999994</v>
      </c>
      <c r="G244" s="96">
        <v>180</v>
      </c>
      <c r="H244" s="96">
        <v>0.2</v>
      </c>
      <c r="I244" s="38">
        <v>150</v>
      </c>
      <c r="J244" s="96">
        <v>7</v>
      </c>
      <c r="K244" s="96">
        <v>298</v>
      </c>
      <c r="L244" s="98" t="s">
        <v>554</v>
      </c>
      <c r="M244" s="61" t="s">
        <v>555</v>
      </c>
      <c r="P244" s="106"/>
      <c r="Q244" s="74"/>
      <c r="R244" s="74"/>
      <c r="S244" s="74"/>
      <c r="T244" s="74"/>
      <c r="U244" s="74"/>
      <c r="V244" s="74"/>
      <c r="W244" s="74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</row>
    <row r="245" spans="1:42" ht="15">
      <c r="A245" s="94" t="s">
        <v>556</v>
      </c>
      <c r="B245" s="96" t="s">
        <v>557</v>
      </c>
      <c r="C245" s="97">
        <v>11.72</v>
      </c>
      <c r="D245" s="96">
        <v>125</v>
      </c>
      <c r="E245" s="97">
        <v>200</v>
      </c>
      <c r="F245" s="97">
        <v>90</v>
      </c>
      <c r="G245" s="96">
        <v>480</v>
      </c>
      <c r="H245" s="95">
        <v>1</v>
      </c>
      <c r="I245" s="97">
        <v>150</v>
      </c>
      <c r="J245" s="96">
        <v>4</v>
      </c>
      <c r="K245" s="96">
        <v>293</v>
      </c>
      <c r="L245" s="98" t="s">
        <v>558</v>
      </c>
      <c r="M245" s="61" t="s">
        <v>559</v>
      </c>
      <c r="P245" s="106"/>
      <c r="Q245" s="106"/>
      <c r="R245" s="74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</row>
    <row r="246" spans="1:42" ht="15">
      <c r="A246" s="94" t="s">
        <v>560</v>
      </c>
      <c r="B246" s="96" t="s">
        <v>557</v>
      </c>
      <c r="C246" s="7">
        <f t="shared" ref="C246:C247" si="33">ROUND(D246 * 6.022 * PI() * (0.69)^2 / 58.69, 2)</f>
        <v>25.28</v>
      </c>
      <c r="D246" s="96">
        <v>164.7</v>
      </c>
      <c r="E246" s="97">
        <v>175</v>
      </c>
      <c r="F246" s="38">
        <v>80</v>
      </c>
      <c r="G246" s="96">
        <v>120</v>
      </c>
      <c r="H246" s="95">
        <v>1</v>
      </c>
      <c r="I246" s="38">
        <v>150</v>
      </c>
      <c r="J246" s="96">
        <v>6</v>
      </c>
      <c r="K246" s="96">
        <v>333.15</v>
      </c>
      <c r="L246" s="98" t="s">
        <v>561</v>
      </c>
      <c r="M246" s="61" t="s">
        <v>562</v>
      </c>
      <c r="Q246" s="106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</row>
    <row r="247" spans="1:42" ht="15">
      <c r="A247" s="94" t="s">
        <v>563</v>
      </c>
      <c r="B247" s="96" t="s">
        <v>557</v>
      </c>
      <c r="C247" s="7">
        <f t="shared" si="33"/>
        <v>101.83</v>
      </c>
      <c r="D247" s="96">
        <v>663.5</v>
      </c>
      <c r="E247" s="97">
        <v>664.1</v>
      </c>
      <c r="F247" s="97">
        <v>83.5</v>
      </c>
      <c r="G247" s="96">
        <v>1</v>
      </c>
      <c r="H247" s="96">
        <v>1</v>
      </c>
      <c r="I247" s="38">
        <v>150</v>
      </c>
      <c r="J247" s="96">
        <v>5.5</v>
      </c>
      <c r="K247" s="96">
        <v>303</v>
      </c>
      <c r="L247" s="98" t="s">
        <v>564</v>
      </c>
      <c r="M247" s="61" t="s">
        <v>565</v>
      </c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</row>
    <row r="248" spans="1:42" ht="15.6">
      <c r="A248" s="94" t="s">
        <v>566</v>
      </c>
      <c r="B248" s="96" t="s">
        <v>403</v>
      </c>
      <c r="C248" s="107">
        <v>1130</v>
      </c>
      <c r="D248" s="96">
        <v>43.68</v>
      </c>
      <c r="E248" s="108">
        <v>10</v>
      </c>
      <c r="F248" s="38">
        <v>84</v>
      </c>
      <c r="G248" s="96">
        <v>45</v>
      </c>
      <c r="H248" s="95">
        <v>2.5000000000000001E-2</v>
      </c>
      <c r="I248" s="38">
        <v>150</v>
      </c>
      <c r="J248" s="96">
        <v>6</v>
      </c>
      <c r="K248" s="96">
        <v>298</v>
      </c>
      <c r="L248" s="98" t="s">
        <v>567</v>
      </c>
      <c r="M248" s="62" t="s">
        <v>568</v>
      </c>
      <c r="R248" s="74"/>
      <c r="S248" s="74"/>
      <c r="T248" s="74"/>
      <c r="U248" s="74"/>
      <c r="V248" s="74"/>
      <c r="W248" s="74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  <c r="AI248" s="74"/>
      <c r="AJ248" s="74"/>
      <c r="AK248" s="74"/>
      <c r="AL248" s="74"/>
      <c r="AM248" s="74"/>
      <c r="AN248" s="74"/>
      <c r="AO248" s="74"/>
      <c r="AP248" s="74"/>
    </row>
    <row r="249" spans="1:42" ht="15">
      <c r="A249" s="94" t="s">
        <v>569</v>
      </c>
      <c r="B249" s="96" t="s">
        <v>403</v>
      </c>
      <c r="C249" s="106">
        <v>14.8</v>
      </c>
      <c r="D249" s="96">
        <v>61.8</v>
      </c>
      <c r="E249" s="97">
        <v>100</v>
      </c>
      <c r="F249" s="106">
        <v>99</v>
      </c>
      <c r="G249" s="96">
        <v>60</v>
      </c>
      <c r="H249" s="97">
        <v>1</v>
      </c>
      <c r="I249" s="38">
        <v>300</v>
      </c>
      <c r="J249" s="96">
        <v>6</v>
      </c>
      <c r="K249" s="96">
        <v>298</v>
      </c>
      <c r="L249" s="98" t="s">
        <v>570</v>
      </c>
      <c r="M249" s="61" t="s">
        <v>571</v>
      </c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74"/>
      <c r="AL249" s="74"/>
      <c r="AM249" s="74"/>
      <c r="AN249" s="74"/>
      <c r="AO249" s="74"/>
      <c r="AP249" s="74"/>
    </row>
    <row r="250" spans="1:42" ht="15">
      <c r="A250" s="94" t="s">
        <v>572</v>
      </c>
      <c r="B250" s="96" t="s">
        <v>403</v>
      </c>
      <c r="C250" s="41">
        <f>ROUND(D250 * 6.022 * PI() * (0.69)^2 / 58.69, 2)</f>
        <v>13.41</v>
      </c>
      <c r="D250" s="96">
        <v>87.4</v>
      </c>
      <c r="E250" s="97">
        <v>200</v>
      </c>
      <c r="F250" s="38">
        <v>95</v>
      </c>
      <c r="G250" s="96">
        <v>180</v>
      </c>
      <c r="H250" s="96">
        <v>1</v>
      </c>
      <c r="I250" s="38">
        <v>350</v>
      </c>
      <c r="J250" s="96">
        <v>6</v>
      </c>
      <c r="K250" s="96">
        <v>298</v>
      </c>
      <c r="L250" s="98" t="s">
        <v>573</v>
      </c>
      <c r="M250" s="61" t="s">
        <v>574</v>
      </c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</row>
    <row r="251" spans="1:42" ht="15">
      <c r="A251" s="94" t="s">
        <v>575</v>
      </c>
      <c r="B251" s="96" t="s">
        <v>403</v>
      </c>
      <c r="C251" s="97">
        <v>3.9350000000000001</v>
      </c>
      <c r="D251" s="96">
        <v>85.75</v>
      </c>
      <c r="E251" s="97">
        <v>100</v>
      </c>
      <c r="F251" s="38">
        <v>95</v>
      </c>
      <c r="G251" s="96">
        <v>120</v>
      </c>
      <c r="H251" s="95">
        <v>1</v>
      </c>
      <c r="I251" s="38">
        <v>180</v>
      </c>
      <c r="J251" s="96">
        <v>4</v>
      </c>
      <c r="K251" s="102">
        <v>623</v>
      </c>
      <c r="L251" s="98" t="s">
        <v>576</v>
      </c>
      <c r="M251" s="61" t="s">
        <v>577</v>
      </c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</row>
    <row r="252" spans="1:42" ht="15">
      <c r="A252" s="94" t="s">
        <v>578</v>
      </c>
      <c r="B252" s="96" t="s">
        <v>579</v>
      </c>
      <c r="C252" s="97">
        <v>2943</v>
      </c>
      <c r="D252" s="96">
        <v>14.025</v>
      </c>
      <c r="E252" s="97">
        <v>20</v>
      </c>
      <c r="F252" s="97">
        <v>76.599999999999994</v>
      </c>
      <c r="G252" s="96">
        <v>480</v>
      </c>
      <c r="H252" s="96">
        <v>1</v>
      </c>
      <c r="I252" s="38">
        <v>150</v>
      </c>
      <c r="J252" s="96">
        <v>6.39</v>
      </c>
      <c r="K252" s="96">
        <v>303</v>
      </c>
      <c r="L252" s="98" t="s">
        <v>580</v>
      </c>
      <c r="M252" s="61" t="s">
        <v>581</v>
      </c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</row>
    <row r="253" spans="1:42" ht="15">
      <c r="A253" s="94" t="s">
        <v>582</v>
      </c>
      <c r="B253" s="96" t="s">
        <v>579</v>
      </c>
      <c r="C253" s="41">
        <f>ROUND(D253 * 6.022 * PI() * (0.69)^2 / 58.69, 2)</f>
        <v>44.97</v>
      </c>
      <c r="D253" s="96">
        <v>293</v>
      </c>
      <c r="E253" s="97">
        <v>500</v>
      </c>
      <c r="F253" s="97">
        <v>93</v>
      </c>
      <c r="G253" s="96">
        <v>120</v>
      </c>
      <c r="H253" s="95">
        <v>0.5</v>
      </c>
      <c r="I253" s="38">
        <v>150</v>
      </c>
      <c r="J253" s="96">
        <v>6</v>
      </c>
      <c r="K253" s="96">
        <v>293</v>
      </c>
      <c r="L253" s="96" t="s">
        <v>583</v>
      </c>
      <c r="M253" s="61" t="s">
        <v>584</v>
      </c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</row>
    <row r="254" spans="1:42" ht="15">
      <c r="A254" s="94" t="s">
        <v>585</v>
      </c>
      <c r="B254" s="96" t="s">
        <v>586</v>
      </c>
      <c r="C254" s="97">
        <v>92</v>
      </c>
      <c r="D254" s="96">
        <v>18</v>
      </c>
      <c r="E254" s="97">
        <v>3.5</v>
      </c>
      <c r="F254" s="97">
        <v>63</v>
      </c>
      <c r="G254" s="96">
        <v>90</v>
      </c>
      <c r="H254" s="96">
        <v>1.1399999999999999</v>
      </c>
      <c r="I254" s="38">
        <v>180</v>
      </c>
      <c r="J254" s="96">
        <v>7</v>
      </c>
      <c r="K254" s="96">
        <v>295</v>
      </c>
      <c r="L254" s="98" t="s">
        <v>587</v>
      </c>
      <c r="M254" s="61" t="s">
        <v>588</v>
      </c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</row>
    <row r="255" spans="1:42" ht="15">
      <c r="A255" s="94" t="s">
        <v>589</v>
      </c>
      <c r="B255" s="95" t="s">
        <v>590</v>
      </c>
      <c r="C255" s="109">
        <v>17.27</v>
      </c>
      <c r="D255" s="96">
        <v>1556.8</v>
      </c>
      <c r="E255" s="109">
        <v>2000</v>
      </c>
      <c r="F255" s="109">
        <v>86.4</v>
      </c>
      <c r="G255" s="96">
        <v>2880</v>
      </c>
      <c r="H255" s="95">
        <v>2</v>
      </c>
      <c r="I255" s="38">
        <v>180</v>
      </c>
      <c r="J255" s="96">
        <v>5.65</v>
      </c>
      <c r="K255" s="96">
        <v>303</v>
      </c>
      <c r="L255" s="98" t="s">
        <v>591</v>
      </c>
      <c r="M255" s="61" t="s">
        <v>592</v>
      </c>
      <c r="R255" s="106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</row>
    <row r="256" spans="1:42" ht="15">
      <c r="A256" s="94" t="s">
        <v>593</v>
      </c>
      <c r="B256" s="96" t="s">
        <v>594</v>
      </c>
      <c r="C256" s="97">
        <v>255</v>
      </c>
      <c r="D256" s="96">
        <v>20.2</v>
      </c>
      <c r="E256" s="97">
        <v>100</v>
      </c>
      <c r="F256" s="97">
        <v>80.2</v>
      </c>
      <c r="G256" s="96">
        <v>60</v>
      </c>
      <c r="H256" s="95">
        <v>2</v>
      </c>
      <c r="I256" s="38">
        <v>4000</v>
      </c>
      <c r="J256" s="96">
        <v>6</v>
      </c>
      <c r="K256" s="96">
        <v>345</v>
      </c>
      <c r="L256" s="98" t="s">
        <v>595</v>
      </c>
      <c r="M256" s="61" t="s">
        <v>596</v>
      </c>
      <c r="R256" s="106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</row>
    <row r="257" spans="1:42" ht="15">
      <c r="A257" s="94" t="s">
        <v>597</v>
      </c>
      <c r="B257" s="96" t="s">
        <v>594</v>
      </c>
      <c r="C257" s="41">
        <f>ROUND(D257 * 6.022 * PI() * (0.69)^2 / 58.69, 2)</f>
        <v>9.59</v>
      </c>
      <c r="D257" s="96">
        <v>62.5</v>
      </c>
      <c r="E257" s="97">
        <v>20</v>
      </c>
      <c r="F257" s="97">
        <v>100</v>
      </c>
      <c r="G257" s="96">
        <v>60</v>
      </c>
      <c r="H257" s="95">
        <v>0.5</v>
      </c>
      <c r="I257" s="38">
        <v>150</v>
      </c>
      <c r="J257" s="96">
        <v>4</v>
      </c>
      <c r="K257" s="96">
        <v>298</v>
      </c>
      <c r="L257" s="96" t="s">
        <v>598</v>
      </c>
      <c r="M257" s="61" t="s">
        <v>599</v>
      </c>
      <c r="S257" s="106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</row>
    <row r="258" spans="1:42" ht="15">
      <c r="A258" s="94" t="s">
        <v>600</v>
      </c>
      <c r="B258" s="96" t="s">
        <v>601</v>
      </c>
      <c r="C258" s="97">
        <v>8</v>
      </c>
      <c r="D258" s="96">
        <v>10.79</v>
      </c>
      <c r="E258" s="97">
        <v>55</v>
      </c>
      <c r="F258" s="97">
        <v>45</v>
      </c>
      <c r="G258" s="96">
        <v>120</v>
      </c>
      <c r="H258" s="95">
        <v>0.3</v>
      </c>
      <c r="I258" s="38">
        <v>800</v>
      </c>
      <c r="J258" s="96">
        <v>5</v>
      </c>
      <c r="K258" s="96">
        <v>293</v>
      </c>
      <c r="L258" s="97" t="s">
        <v>602</v>
      </c>
      <c r="M258" s="61" t="s">
        <v>603</v>
      </c>
      <c r="S258" s="106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</row>
    <row r="259" spans="1:42" ht="15">
      <c r="A259" s="94" t="s">
        <v>604</v>
      </c>
      <c r="B259" s="95" t="s">
        <v>605</v>
      </c>
      <c r="C259" s="97">
        <v>0.42</v>
      </c>
      <c r="D259" s="95">
        <v>64.14</v>
      </c>
      <c r="E259" s="97">
        <v>4.91</v>
      </c>
      <c r="F259" s="97">
        <v>97.78</v>
      </c>
      <c r="G259" s="96">
        <v>100</v>
      </c>
      <c r="H259" s="95">
        <v>0.8</v>
      </c>
      <c r="I259" s="38">
        <v>150</v>
      </c>
      <c r="J259" s="96">
        <v>6</v>
      </c>
      <c r="K259" s="96">
        <v>298</v>
      </c>
      <c r="L259" s="98" t="s">
        <v>606</v>
      </c>
      <c r="M259" s="61" t="s">
        <v>607</v>
      </c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</row>
    <row r="260" spans="1:42" ht="15">
      <c r="A260" s="94" t="s">
        <v>604</v>
      </c>
      <c r="B260" s="110" t="s">
        <v>608</v>
      </c>
      <c r="C260" s="97">
        <v>0.42</v>
      </c>
      <c r="D260" s="110">
        <v>65.650000000000006</v>
      </c>
      <c r="E260" s="97">
        <v>4.42</v>
      </c>
      <c r="F260" s="97">
        <v>99.82</v>
      </c>
      <c r="G260" s="96">
        <v>100</v>
      </c>
      <c r="H260" s="95">
        <v>0.8</v>
      </c>
      <c r="I260" s="38">
        <v>150</v>
      </c>
      <c r="J260" s="96">
        <v>6</v>
      </c>
      <c r="K260" s="96">
        <v>298</v>
      </c>
      <c r="L260" s="98" t="s">
        <v>606</v>
      </c>
      <c r="M260" s="62" t="s">
        <v>609</v>
      </c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</row>
    <row r="261" spans="1:42" ht="15">
      <c r="A261" s="94" t="s">
        <v>610</v>
      </c>
      <c r="B261" s="95" t="s">
        <v>605</v>
      </c>
      <c r="C261" s="41">
        <f t="shared" ref="C261:C262" si="34">ROUND(D261 * 6.022 * PI() * (0.69)^2 / 58.69, 2)</f>
        <v>10.57</v>
      </c>
      <c r="D261" s="95">
        <v>68.900000000000006</v>
      </c>
      <c r="E261" s="97">
        <v>150</v>
      </c>
      <c r="F261" s="97">
        <v>74</v>
      </c>
      <c r="G261" s="96">
        <v>120</v>
      </c>
      <c r="H261" s="95">
        <v>2</v>
      </c>
      <c r="I261" s="38">
        <v>150</v>
      </c>
      <c r="J261" s="96">
        <v>6</v>
      </c>
      <c r="K261" s="96">
        <v>288</v>
      </c>
      <c r="L261" s="96" t="s">
        <v>611</v>
      </c>
      <c r="M261" s="61" t="s">
        <v>612</v>
      </c>
      <c r="T261" s="74"/>
      <c r="U261" s="74"/>
      <c r="V261" s="74"/>
      <c r="W261" s="74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  <c r="AI261" s="74"/>
      <c r="AJ261" s="74"/>
      <c r="AK261" s="74"/>
      <c r="AL261" s="74"/>
      <c r="AM261" s="74"/>
      <c r="AN261" s="74"/>
      <c r="AO261" s="74"/>
      <c r="AP261" s="74"/>
    </row>
    <row r="262" spans="1:42" ht="15">
      <c r="A262" s="94" t="s">
        <v>610</v>
      </c>
      <c r="B262" s="110" t="s">
        <v>608</v>
      </c>
      <c r="C262" s="41">
        <f t="shared" si="34"/>
        <v>9.02</v>
      </c>
      <c r="D262" s="110">
        <v>58.8</v>
      </c>
      <c r="E262" s="97">
        <v>150</v>
      </c>
      <c r="F262" s="97">
        <v>71</v>
      </c>
      <c r="G262" s="95">
        <v>120</v>
      </c>
      <c r="H262" s="96">
        <v>1.5</v>
      </c>
      <c r="I262" s="38">
        <v>150</v>
      </c>
      <c r="J262" s="95">
        <v>6</v>
      </c>
      <c r="K262" s="96">
        <v>288</v>
      </c>
      <c r="L262" s="98" t="s">
        <v>611</v>
      </c>
      <c r="M262" s="62" t="s">
        <v>613</v>
      </c>
      <c r="T262" s="106"/>
      <c r="U262" s="74"/>
      <c r="V262" s="74"/>
      <c r="W262" s="74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</row>
    <row r="263" spans="1:42" ht="15">
      <c r="A263" s="94" t="s">
        <v>614</v>
      </c>
      <c r="B263" s="95" t="s">
        <v>605</v>
      </c>
      <c r="C263" s="97">
        <v>0.7</v>
      </c>
      <c r="D263" s="95">
        <v>64</v>
      </c>
      <c r="E263" s="97">
        <v>50</v>
      </c>
      <c r="F263" s="97">
        <v>47</v>
      </c>
      <c r="G263" s="102">
        <v>10</v>
      </c>
      <c r="H263" s="95">
        <v>0.5</v>
      </c>
      <c r="I263" s="38">
        <v>10000</v>
      </c>
      <c r="J263" s="95">
        <v>5.7</v>
      </c>
      <c r="K263" s="102">
        <v>298</v>
      </c>
      <c r="L263" s="96" t="s">
        <v>615</v>
      </c>
      <c r="M263" s="61" t="s">
        <v>616</v>
      </c>
      <c r="T263" s="106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</row>
    <row r="264" spans="1:42" ht="15">
      <c r="A264" s="94" t="s">
        <v>614</v>
      </c>
      <c r="B264" s="110" t="s">
        <v>608</v>
      </c>
      <c r="C264" s="97">
        <v>0.7</v>
      </c>
      <c r="D264" s="110">
        <v>123</v>
      </c>
      <c r="E264" s="97">
        <v>50</v>
      </c>
      <c r="F264" s="97">
        <v>72.8</v>
      </c>
      <c r="G264" s="102">
        <v>10</v>
      </c>
      <c r="H264" s="95">
        <v>0.5</v>
      </c>
      <c r="I264" s="38">
        <v>10000</v>
      </c>
      <c r="J264" s="95">
        <v>5.7</v>
      </c>
      <c r="K264" s="102">
        <v>298</v>
      </c>
      <c r="L264" s="98" t="s">
        <v>615</v>
      </c>
      <c r="M264" s="62" t="s">
        <v>617</v>
      </c>
      <c r="U264" s="74"/>
      <c r="V264" s="74"/>
      <c r="W264" s="74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  <c r="AI264" s="74"/>
      <c r="AJ264" s="74"/>
      <c r="AK264" s="74"/>
      <c r="AL264" s="74"/>
      <c r="AM264" s="74"/>
      <c r="AN264" s="74"/>
      <c r="AO264" s="74"/>
      <c r="AP264" s="74"/>
    </row>
    <row r="265" spans="1:42" ht="15">
      <c r="A265" s="94" t="s">
        <v>618</v>
      </c>
      <c r="B265" s="95" t="s">
        <v>605</v>
      </c>
      <c r="C265" s="7">
        <f t="shared" ref="C265:C266" si="35">ROUND(D265 * 6.022 * PI() * (0.69)^2 / 58.69, 2)</f>
        <v>42.36</v>
      </c>
      <c r="D265" s="95">
        <v>276</v>
      </c>
      <c r="E265" s="97">
        <v>100</v>
      </c>
      <c r="F265" s="97">
        <v>82</v>
      </c>
      <c r="G265" s="96">
        <v>60</v>
      </c>
      <c r="H265" s="95">
        <v>0.2</v>
      </c>
      <c r="I265" s="38">
        <v>150</v>
      </c>
      <c r="J265" s="96">
        <v>7</v>
      </c>
      <c r="K265" s="96">
        <v>293</v>
      </c>
      <c r="L265" s="96" t="s">
        <v>619</v>
      </c>
      <c r="M265" s="61" t="s">
        <v>620</v>
      </c>
      <c r="U265" s="74"/>
      <c r="V265" s="74"/>
      <c r="W265" s="74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</row>
    <row r="266" spans="1:42" ht="15">
      <c r="A266" s="94" t="s">
        <v>618</v>
      </c>
      <c r="B266" s="110" t="s">
        <v>608</v>
      </c>
      <c r="C266" s="7">
        <f t="shared" si="35"/>
        <v>49.57</v>
      </c>
      <c r="D266" s="110">
        <v>323</v>
      </c>
      <c r="E266" s="97">
        <v>100</v>
      </c>
      <c r="F266" s="97">
        <v>85</v>
      </c>
      <c r="G266" s="96">
        <v>60</v>
      </c>
      <c r="H266" s="95">
        <v>0.2</v>
      </c>
      <c r="I266" s="38">
        <v>150</v>
      </c>
      <c r="J266" s="96">
        <v>7</v>
      </c>
      <c r="K266" s="96">
        <v>293</v>
      </c>
      <c r="L266" s="98" t="s">
        <v>619</v>
      </c>
      <c r="M266" s="62" t="s">
        <v>621</v>
      </c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</row>
    <row r="267" spans="1:42" ht="15.6">
      <c r="A267" s="94" t="s">
        <v>622</v>
      </c>
      <c r="B267" s="95" t="s">
        <v>403</v>
      </c>
      <c r="C267" s="111">
        <v>131.4</v>
      </c>
      <c r="D267" s="95">
        <v>79.88</v>
      </c>
      <c r="E267" s="112">
        <v>50</v>
      </c>
      <c r="F267" s="38">
        <v>95</v>
      </c>
      <c r="G267" s="96">
        <v>30</v>
      </c>
      <c r="H267" s="95">
        <v>0.25</v>
      </c>
      <c r="I267" s="38">
        <v>150</v>
      </c>
      <c r="J267" s="96">
        <v>6</v>
      </c>
      <c r="K267" s="96">
        <v>298</v>
      </c>
      <c r="L267" s="96" t="s">
        <v>623</v>
      </c>
      <c r="M267" s="61" t="s">
        <v>624</v>
      </c>
      <c r="U267" s="74"/>
      <c r="V267" s="74"/>
      <c r="W267" s="74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</row>
    <row r="268" spans="1:42" ht="15.6">
      <c r="A268" s="94" t="s">
        <v>622</v>
      </c>
      <c r="B268" s="110" t="s">
        <v>608</v>
      </c>
      <c r="C268" s="111">
        <v>131.4</v>
      </c>
      <c r="D268" s="110">
        <v>226.24</v>
      </c>
      <c r="E268" s="112">
        <v>100</v>
      </c>
      <c r="F268" s="38">
        <v>85</v>
      </c>
      <c r="G268" s="96">
        <v>30</v>
      </c>
      <c r="H268" s="95">
        <v>0.25</v>
      </c>
      <c r="I268" s="38">
        <v>150</v>
      </c>
      <c r="J268" s="96">
        <v>6</v>
      </c>
      <c r="K268" s="96">
        <v>298</v>
      </c>
      <c r="L268" s="96" t="s">
        <v>623</v>
      </c>
      <c r="M268" s="62" t="s">
        <v>625</v>
      </c>
      <c r="U268" s="74"/>
      <c r="V268" s="74"/>
      <c r="W268" s="74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  <c r="AI268" s="74"/>
      <c r="AJ268" s="74"/>
      <c r="AK268" s="74"/>
      <c r="AL268" s="74"/>
      <c r="AM268" s="74"/>
      <c r="AN268" s="74"/>
      <c r="AO268" s="74"/>
      <c r="AP268" s="74"/>
    </row>
    <row r="269" spans="1:42" ht="15">
      <c r="A269" s="94" t="s">
        <v>626</v>
      </c>
      <c r="B269" s="95" t="s">
        <v>403</v>
      </c>
      <c r="C269" s="97">
        <v>375.8</v>
      </c>
      <c r="D269" s="95">
        <v>126.37</v>
      </c>
      <c r="E269" s="97">
        <v>60</v>
      </c>
      <c r="F269" s="97">
        <v>92</v>
      </c>
      <c r="G269" s="96">
        <v>60</v>
      </c>
      <c r="H269" s="96">
        <v>0.4</v>
      </c>
      <c r="I269" s="38">
        <v>150</v>
      </c>
      <c r="J269" s="96">
        <v>6</v>
      </c>
      <c r="K269" s="96">
        <v>303</v>
      </c>
      <c r="L269" s="96" t="s">
        <v>627</v>
      </c>
      <c r="M269" s="61" t="s">
        <v>628</v>
      </c>
      <c r="U269" s="74"/>
      <c r="V269" s="74"/>
      <c r="W269" s="74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  <c r="AI269" s="74"/>
      <c r="AJ269" s="74"/>
      <c r="AK269" s="74"/>
      <c r="AL269" s="74"/>
      <c r="AM269" s="74"/>
      <c r="AN269" s="74"/>
      <c r="AO269" s="74"/>
      <c r="AP269" s="74"/>
    </row>
    <row r="270" spans="1:42" ht="15">
      <c r="A270" s="94" t="s">
        <v>626</v>
      </c>
      <c r="B270" s="110" t="s">
        <v>608</v>
      </c>
      <c r="C270" s="97">
        <v>375.8</v>
      </c>
      <c r="D270" s="110">
        <v>250.47</v>
      </c>
      <c r="E270" s="97">
        <v>60</v>
      </c>
      <c r="F270" s="97">
        <v>96</v>
      </c>
      <c r="G270" s="96">
        <v>60</v>
      </c>
      <c r="H270" s="96">
        <v>0.4</v>
      </c>
      <c r="I270" s="38">
        <v>150</v>
      </c>
      <c r="J270" s="96">
        <v>6</v>
      </c>
      <c r="K270" s="96">
        <v>303</v>
      </c>
      <c r="L270" s="96" t="s">
        <v>627</v>
      </c>
      <c r="M270" s="62" t="s">
        <v>629</v>
      </c>
      <c r="U270" s="74"/>
      <c r="V270" s="74"/>
      <c r="W270" s="74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  <c r="AI270" s="74"/>
      <c r="AJ270" s="74"/>
      <c r="AK270" s="74"/>
      <c r="AL270" s="74"/>
      <c r="AM270" s="74"/>
      <c r="AN270" s="74"/>
      <c r="AO270" s="74"/>
      <c r="AP270" s="74"/>
    </row>
    <row r="271" spans="1:42" ht="15">
      <c r="A271" s="94" t="s">
        <v>630</v>
      </c>
      <c r="B271" s="95" t="s">
        <v>605</v>
      </c>
      <c r="C271" s="41">
        <f t="shared" ref="C271:C274" si="36">ROUND(D271 * 6.022 * PI() * (0.69)^2 / 58.69, 2)</f>
        <v>43.43</v>
      </c>
      <c r="D271" s="95">
        <v>283</v>
      </c>
      <c r="E271" s="97">
        <v>100</v>
      </c>
      <c r="F271" s="97">
        <v>99</v>
      </c>
      <c r="G271" s="102">
        <v>60</v>
      </c>
      <c r="H271" s="95">
        <v>0.5</v>
      </c>
      <c r="I271" s="38">
        <v>150</v>
      </c>
      <c r="J271" s="96">
        <v>6</v>
      </c>
      <c r="K271" s="102">
        <v>298</v>
      </c>
      <c r="L271" s="98" t="s">
        <v>631</v>
      </c>
      <c r="M271" s="61" t="s">
        <v>632</v>
      </c>
      <c r="U271" s="113"/>
      <c r="V271" s="113"/>
      <c r="W271" s="74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</row>
    <row r="272" spans="1:42" ht="15">
      <c r="A272" s="94" t="s">
        <v>630</v>
      </c>
      <c r="B272" s="110" t="s">
        <v>586</v>
      </c>
      <c r="C272" s="41">
        <f t="shared" si="36"/>
        <v>59.24</v>
      </c>
      <c r="D272" s="110">
        <v>386</v>
      </c>
      <c r="E272" s="97">
        <v>100</v>
      </c>
      <c r="F272" s="97">
        <v>99</v>
      </c>
      <c r="G272" s="102">
        <v>60</v>
      </c>
      <c r="H272" s="95">
        <v>0.5</v>
      </c>
      <c r="I272" s="38">
        <v>150</v>
      </c>
      <c r="J272" s="96">
        <v>6</v>
      </c>
      <c r="K272" s="102">
        <v>298</v>
      </c>
      <c r="L272" s="98" t="s">
        <v>631</v>
      </c>
      <c r="M272" s="62" t="s">
        <v>633</v>
      </c>
      <c r="U272" s="113"/>
      <c r="V272" s="113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</row>
    <row r="273" spans="1:42" ht="15">
      <c r="A273" s="94" t="s">
        <v>634</v>
      </c>
      <c r="B273" s="95" t="s">
        <v>605</v>
      </c>
      <c r="C273" s="30">
        <f t="shared" si="36"/>
        <v>108.81</v>
      </c>
      <c r="D273" s="95">
        <v>709</v>
      </c>
      <c r="E273" s="97">
        <v>500</v>
      </c>
      <c r="F273" s="97">
        <v>81</v>
      </c>
      <c r="G273" s="96">
        <v>180</v>
      </c>
      <c r="H273" s="95">
        <v>0.2</v>
      </c>
      <c r="I273" s="38">
        <v>150</v>
      </c>
      <c r="J273" s="96">
        <v>7</v>
      </c>
      <c r="K273" s="96">
        <v>303</v>
      </c>
      <c r="L273" s="98" t="s">
        <v>635</v>
      </c>
      <c r="M273" s="61" t="s">
        <v>636</v>
      </c>
      <c r="U273" s="113"/>
      <c r="V273" s="113"/>
      <c r="W273" s="74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  <c r="AI273" s="74"/>
      <c r="AJ273" s="74"/>
      <c r="AK273" s="74"/>
      <c r="AL273" s="74"/>
      <c r="AM273" s="74"/>
      <c r="AN273" s="74"/>
      <c r="AO273" s="74"/>
      <c r="AP273" s="74"/>
    </row>
    <row r="274" spans="1:42" ht="15">
      <c r="A274" s="94" t="s">
        <v>634</v>
      </c>
      <c r="B274" s="110" t="s">
        <v>586</v>
      </c>
      <c r="C274" s="30">
        <f t="shared" si="36"/>
        <v>92.24</v>
      </c>
      <c r="D274" s="110">
        <v>601</v>
      </c>
      <c r="E274" s="97">
        <v>500</v>
      </c>
      <c r="F274" s="97">
        <v>79</v>
      </c>
      <c r="G274" s="96">
        <v>180</v>
      </c>
      <c r="H274" s="95">
        <v>0.2</v>
      </c>
      <c r="I274" s="38">
        <v>150</v>
      </c>
      <c r="J274" s="95">
        <v>7</v>
      </c>
      <c r="K274" s="96">
        <v>303</v>
      </c>
      <c r="L274" s="98" t="s">
        <v>635</v>
      </c>
      <c r="M274" s="62" t="s">
        <v>637</v>
      </c>
      <c r="W274" s="74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  <c r="AI274" s="74"/>
      <c r="AJ274" s="74"/>
      <c r="AK274" s="74"/>
      <c r="AL274" s="74"/>
      <c r="AM274" s="74"/>
      <c r="AN274" s="74"/>
      <c r="AO274" s="74"/>
      <c r="AP274" s="74"/>
    </row>
    <row r="275" spans="1:42" ht="15">
      <c r="A275" s="94" t="s">
        <v>638</v>
      </c>
      <c r="B275" s="95" t="s">
        <v>579</v>
      </c>
      <c r="C275" s="114">
        <v>2.7</v>
      </c>
      <c r="D275" s="95">
        <v>5.28</v>
      </c>
      <c r="E275" s="114">
        <v>30</v>
      </c>
      <c r="F275" s="114">
        <v>88</v>
      </c>
      <c r="G275" s="96">
        <v>60</v>
      </c>
      <c r="H275" s="114">
        <v>5</v>
      </c>
      <c r="I275" s="38">
        <v>1000</v>
      </c>
      <c r="J275" s="96">
        <v>7</v>
      </c>
      <c r="K275" s="96">
        <v>298</v>
      </c>
      <c r="L275" s="98" t="s">
        <v>639</v>
      </c>
      <c r="M275" s="61" t="s">
        <v>640</v>
      </c>
      <c r="W275" s="74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</row>
    <row r="276" spans="1:42" ht="15">
      <c r="A276" s="94" t="s">
        <v>641</v>
      </c>
      <c r="B276" s="110" t="s">
        <v>403</v>
      </c>
      <c r="C276" s="114">
        <v>2.7</v>
      </c>
      <c r="D276" s="110">
        <v>5.9</v>
      </c>
      <c r="E276" s="114">
        <v>30</v>
      </c>
      <c r="F276" s="114">
        <v>98.4</v>
      </c>
      <c r="G276" s="96">
        <v>60</v>
      </c>
      <c r="H276" s="114">
        <v>5</v>
      </c>
      <c r="I276" s="38">
        <v>1000</v>
      </c>
      <c r="J276" s="96">
        <v>7</v>
      </c>
      <c r="K276" s="96">
        <v>298</v>
      </c>
      <c r="L276" s="98" t="s">
        <v>639</v>
      </c>
      <c r="M276" s="62" t="s">
        <v>642</v>
      </c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</row>
    <row r="277" spans="1:42" ht="15">
      <c r="A277" s="94" t="s">
        <v>643</v>
      </c>
      <c r="B277" s="95" t="s">
        <v>605</v>
      </c>
      <c r="C277" s="97">
        <v>20.6</v>
      </c>
      <c r="D277" s="95">
        <v>98</v>
      </c>
      <c r="E277" s="97">
        <v>20</v>
      </c>
      <c r="F277" s="97">
        <v>94.3</v>
      </c>
      <c r="G277" s="96">
        <v>20</v>
      </c>
      <c r="H277" s="95">
        <v>0.4</v>
      </c>
      <c r="I277" s="38">
        <v>150</v>
      </c>
      <c r="J277" s="96">
        <v>6</v>
      </c>
      <c r="K277" s="96">
        <v>298</v>
      </c>
      <c r="L277" s="98" t="s">
        <v>644</v>
      </c>
      <c r="M277" s="61" t="s">
        <v>645</v>
      </c>
      <c r="W277" s="74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  <c r="AI277" s="74"/>
      <c r="AJ277" s="74"/>
      <c r="AK277" s="74"/>
      <c r="AL277" s="74"/>
      <c r="AM277" s="74"/>
      <c r="AN277" s="74"/>
      <c r="AO277" s="74"/>
      <c r="AP277" s="74"/>
    </row>
    <row r="278" spans="1:42" ht="15">
      <c r="A278" s="94" t="s">
        <v>643</v>
      </c>
      <c r="B278" s="110" t="s">
        <v>646</v>
      </c>
      <c r="C278" s="97">
        <v>20.6</v>
      </c>
      <c r="D278" s="110">
        <v>78</v>
      </c>
      <c r="E278" s="97">
        <v>20</v>
      </c>
      <c r="F278" s="97">
        <v>76.5</v>
      </c>
      <c r="G278" s="96">
        <v>20</v>
      </c>
      <c r="H278" s="95">
        <v>0.4</v>
      </c>
      <c r="I278" s="38">
        <v>150</v>
      </c>
      <c r="J278" s="96">
        <v>6</v>
      </c>
      <c r="K278" s="96">
        <v>298</v>
      </c>
      <c r="L278" s="98" t="s">
        <v>644</v>
      </c>
      <c r="M278" s="62" t="s">
        <v>647</v>
      </c>
      <c r="W278" s="74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  <c r="AI278" s="74"/>
      <c r="AJ278" s="74"/>
      <c r="AK278" s="74"/>
      <c r="AL278" s="74"/>
      <c r="AM278" s="74"/>
      <c r="AN278" s="74"/>
      <c r="AO278" s="74"/>
      <c r="AP278" s="74"/>
    </row>
    <row r="279" spans="1:42" ht="15">
      <c r="A279" s="94" t="s">
        <v>643</v>
      </c>
      <c r="B279" s="110" t="s">
        <v>579</v>
      </c>
      <c r="C279" s="97">
        <v>20.6</v>
      </c>
      <c r="D279" s="110">
        <v>67</v>
      </c>
      <c r="E279" s="97">
        <v>20</v>
      </c>
      <c r="F279" s="97">
        <v>65.099999999999994</v>
      </c>
      <c r="G279" s="96">
        <v>20</v>
      </c>
      <c r="H279" s="95">
        <v>0.4</v>
      </c>
      <c r="I279" s="38">
        <v>150</v>
      </c>
      <c r="J279" s="96">
        <v>6</v>
      </c>
      <c r="K279" s="96">
        <v>298</v>
      </c>
      <c r="L279" s="98" t="s">
        <v>644</v>
      </c>
      <c r="M279" s="62" t="s">
        <v>648</v>
      </c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</row>
    <row r="280" spans="1:42" ht="15">
      <c r="A280" s="94" t="s">
        <v>649</v>
      </c>
      <c r="B280" s="95" t="s">
        <v>579</v>
      </c>
      <c r="C280" s="97">
        <v>1.86</v>
      </c>
      <c r="D280" s="95">
        <v>70.41</v>
      </c>
      <c r="E280" s="97">
        <v>50</v>
      </c>
      <c r="F280" s="97">
        <v>85.1</v>
      </c>
      <c r="G280" s="95">
        <v>60</v>
      </c>
      <c r="H280" s="95">
        <v>5</v>
      </c>
      <c r="I280" s="38">
        <v>1000</v>
      </c>
      <c r="J280" s="96">
        <v>5</v>
      </c>
      <c r="K280" s="96">
        <v>293</v>
      </c>
      <c r="L280" s="98" t="s">
        <v>650</v>
      </c>
      <c r="M280" s="61" t="s">
        <v>651</v>
      </c>
      <c r="N280" s="113"/>
      <c r="W280" s="74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</row>
    <row r="281" spans="1:42" ht="15">
      <c r="A281" s="94" t="s">
        <v>649</v>
      </c>
      <c r="B281" s="110" t="s">
        <v>605</v>
      </c>
      <c r="C281" s="97">
        <v>1.86</v>
      </c>
      <c r="D281" s="110">
        <v>75.7</v>
      </c>
      <c r="E281" s="97">
        <v>50</v>
      </c>
      <c r="F281" s="97">
        <v>85.5</v>
      </c>
      <c r="G281" s="95">
        <v>60</v>
      </c>
      <c r="H281" s="95">
        <v>5</v>
      </c>
      <c r="I281" s="38">
        <v>1000</v>
      </c>
      <c r="J281" s="96">
        <v>5</v>
      </c>
      <c r="K281" s="96">
        <v>293</v>
      </c>
      <c r="L281" s="98" t="s">
        <v>650</v>
      </c>
      <c r="M281" s="62" t="s">
        <v>652</v>
      </c>
      <c r="W281" s="74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  <c r="AI281" s="74"/>
      <c r="AJ281" s="74"/>
      <c r="AK281" s="74"/>
      <c r="AL281" s="74"/>
      <c r="AM281" s="74"/>
      <c r="AN281" s="74"/>
      <c r="AO281" s="74"/>
      <c r="AP281" s="74"/>
    </row>
    <row r="282" spans="1:42" ht="15">
      <c r="A282" s="94" t="s">
        <v>649</v>
      </c>
      <c r="B282" s="110" t="s">
        <v>646</v>
      </c>
      <c r="C282" s="97">
        <v>1.86</v>
      </c>
      <c r="D282" s="110">
        <v>82.41</v>
      </c>
      <c r="E282" s="97">
        <v>50</v>
      </c>
      <c r="F282" s="97">
        <v>92.3</v>
      </c>
      <c r="G282" s="95">
        <v>60</v>
      </c>
      <c r="H282" s="95">
        <v>5</v>
      </c>
      <c r="I282" s="38">
        <v>1000</v>
      </c>
      <c r="J282" s="96">
        <v>5</v>
      </c>
      <c r="K282" s="96">
        <v>293</v>
      </c>
      <c r="L282" s="98" t="s">
        <v>650</v>
      </c>
      <c r="M282" s="62" t="s">
        <v>653</v>
      </c>
      <c r="W282" s="74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  <c r="AI282" s="74"/>
      <c r="AJ282" s="74"/>
      <c r="AK282" s="74"/>
      <c r="AL282" s="74"/>
      <c r="AM282" s="74"/>
      <c r="AN282" s="74"/>
      <c r="AO282" s="74"/>
      <c r="AP282" s="74"/>
    </row>
    <row r="283" spans="1:42" ht="15">
      <c r="A283" s="94" t="s">
        <v>649</v>
      </c>
      <c r="B283" s="110" t="s">
        <v>608</v>
      </c>
      <c r="C283" s="97">
        <v>1.86</v>
      </c>
      <c r="D283" s="110">
        <v>91.74</v>
      </c>
      <c r="E283" s="97">
        <v>50</v>
      </c>
      <c r="F283" s="97">
        <v>99.1</v>
      </c>
      <c r="G283" s="95">
        <v>60</v>
      </c>
      <c r="H283" s="95">
        <v>5</v>
      </c>
      <c r="I283" s="38">
        <v>1000</v>
      </c>
      <c r="J283" s="96">
        <v>5</v>
      </c>
      <c r="K283" s="96">
        <v>293</v>
      </c>
      <c r="L283" s="98" t="s">
        <v>650</v>
      </c>
      <c r="M283" s="62" t="s">
        <v>654</v>
      </c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</row>
    <row r="284" spans="1:42" ht="15">
      <c r="A284" s="94" t="s">
        <v>655</v>
      </c>
      <c r="B284" s="95" t="s">
        <v>608</v>
      </c>
      <c r="C284" s="97">
        <v>1.5198</v>
      </c>
      <c r="D284" s="95">
        <v>222.73</v>
      </c>
      <c r="E284" s="97">
        <v>207.2</v>
      </c>
      <c r="F284" s="97">
        <v>68</v>
      </c>
      <c r="G284" s="96">
        <v>780</v>
      </c>
      <c r="H284" s="95">
        <v>1</v>
      </c>
      <c r="I284" s="38">
        <v>150</v>
      </c>
      <c r="J284" s="96">
        <v>5</v>
      </c>
      <c r="K284" s="115">
        <v>298</v>
      </c>
      <c r="L284" s="98" t="s">
        <v>656</v>
      </c>
      <c r="M284" s="61" t="s">
        <v>657</v>
      </c>
      <c r="W284" s="74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  <c r="AI284" s="74"/>
      <c r="AJ284" s="74"/>
      <c r="AK284" s="74"/>
      <c r="AL284" s="74"/>
      <c r="AM284" s="74"/>
      <c r="AN284" s="74"/>
      <c r="AO284" s="74"/>
      <c r="AP284" s="74"/>
    </row>
    <row r="285" spans="1:42" ht="15">
      <c r="A285" s="94" t="s">
        <v>655</v>
      </c>
      <c r="B285" s="95" t="s">
        <v>605</v>
      </c>
      <c r="C285" s="97">
        <v>1.5198</v>
      </c>
      <c r="D285" s="110">
        <v>20.69</v>
      </c>
      <c r="E285" s="97">
        <v>63.5</v>
      </c>
      <c r="F285" s="97">
        <v>28.6</v>
      </c>
      <c r="G285" s="96">
        <v>780</v>
      </c>
      <c r="H285" s="95">
        <v>1</v>
      </c>
      <c r="I285" s="38">
        <v>150</v>
      </c>
      <c r="J285" s="95">
        <v>5</v>
      </c>
      <c r="K285" s="115">
        <v>298</v>
      </c>
      <c r="L285" s="98" t="s">
        <v>656</v>
      </c>
      <c r="M285" s="62" t="s">
        <v>658</v>
      </c>
      <c r="W285" s="74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  <c r="AI285" s="74"/>
      <c r="AJ285" s="74"/>
      <c r="AK285" s="74"/>
      <c r="AL285" s="74"/>
      <c r="AM285" s="74"/>
      <c r="AN285" s="74"/>
      <c r="AO285" s="74"/>
      <c r="AP285" s="74"/>
    </row>
    <row r="286" spans="1:42" ht="15">
      <c r="A286" s="94" t="s">
        <v>655</v>
      </c>
      <c r="B286" s="95" t="s">
        <v>403</v>
      </c>
      <c r="C286" s="97">
        <v>1.5198</v>
      </c>
      <c r="D286" s="110">
        <v>6.61</v>
      </c>
      <c r="E286" s="97">
        <v>112.4</v>
      </c>
      <c r="F286" s="97">
        <v>3.4</v>
      </c>
      <c r="G286" s="96">
        <v>780</v>
      </c>
      <c r="H286" s="95">
        <v>1</v>
      </c>
      <c r="I286" s="38">
        <v>150</v>
      </c>
      <c r="J286" s="95">
        <v>5</v>
      </c>
      <c r="K286" s="115">
        <v>298</v>
      </c>
      <c r="L286" s="98" t="s">
        <v>656</v>
      </c>
      <c r="M286" s="62" t="s">
        <v>659</v>
      </c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</row>
    <row r="287" spans="1:42" ht="15">
      <c r="A287" s="94" t="s">
        <v>660</v>
      </c>
      <c r="B287" s="95" t="s">
        <v>414</v>
      </c>
      <c r="C287" s="97">
        <v>7.68</v>
      </c>
      <c r="D287" s="95">
        <v>54.2</v>
      </c>
      <c r="E287" s="97">
        <v>0.18</v>
      </c>
      <c r="F287" s="97">
        <v>95</v>
      </c>
      <c r="G287" s="102">
        <v>180</v>
      </c>
      <c r="H287" s="96">
        <v>0.5</v>
      </c>
      <c r="I287" s="38">
        <v>150</v>
      </c>
      <c r="J287" s="95">
        <v>6</v>
      </c>
      <c r="K287" s="102">
        <v>298</v>
      </c>
      <c r="L287" s="98" t="s">
        <v>661</v>
      </c>
      <c r="M287" s="61" t="s">
        <v>662</v>
      </c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</row>
    <row r="288" spans="1:42" ht="15">
      <c r="A288" s="94" t="s">
        <v>663</v>
      </c>
      <c r="B288" s="95" t="s">
        <v>594</v>
      </c>
      <c r="C288" s="97">
        <v>7.68</v>
      </c>
      <c r="D288" s="110">
        <v>53.12</v>
      </c>
      <c r="E288" s="97">
        <v>0.22</v>
      </c>
      <c r="F288" s="97">
        <v>96</v>
      </c>
      <c r="G288" s="102">
        <v>180</v>
      </c>
      <c r="H288" s="96">
        <v>0.5</v>
      </c>
      <c r="I288" s="38">
        <v>150</v>
      </c>
      <c r="J288" s="95">
        <v>6</v>
      </c>
      <c r="K288" s="102">
        <v>298</v>
      </c>
      <c r="L288" s="98" t="s">
        <v>661</v>
      </c>
      <c r="M288" s="61" t="s">
        <v>662</v>
      </c>
      <c r="W288" s="74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  <c r="AI288" s="74"/>
      <c r="AJ288" s="74"/>
      <c r="AK288" s="74"/>
      <c r="AL288" s="74"/>
      <c r="AM288" s="74"/>
      <c r="AN288" s="74"/>
      <c r="AO288" s="74"/>
      <c r="AP288" s="74"/>
    </row>
    <row r="289" spans="1:42" ht="15">
      <c r="A289" s="94" t="s">
        <v>664</v>
      </c>
      <c r="B289" s="95" t="s">
        <v>403</v>
      </c>
      <c r="C289" s="97">
        <v>7.68</v>
      </c>
      <c r="D289" s="110">
        <v>74.84</v>
      </c>
      <c r="E289" s="97">
        <v>0.15</v>
      </c>
      <c r="F289" s="97">
        <v>97</v>
      </c>
      <c r="G289" s="102">
        <v>180</v>
      </c>
      <c r="H289" s="96">
        <v>0.5</v>
      </c>
      <c r="I289" s="38">
        <v>150</v>
      </c>
      <c r="J289" s="95">
        <v>6.5</v>
      </c>
      <c r="K289" s="102">
        <v>298</v>
      </c>
      <c r="L289" s="98" t="s">
        <v>661</v>
      </c>
      <c r="M289" s="61" t="s">
        <v>662</v>
      </c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</row>
    <row r="290" spans="1:42" ht="15">
      <c r="A290" s="94" t="s">
        <v>665</v>
      </c>
      <c r="B290" s="95" t="s">
        <v>579</v>
      </c>
      <c r="C290" s="97">
        <v>7.68</v>
      </c>
      <c r="D290" s="110">
        <v>49.42</v>
      </c>
      <c r="E290" s="97">
        <v>0.19</v>
      </c>
      <c r="F290" s="97">
        <v>89</v>
      </c>
      <c r="G290" s="102">
        <v>180</v>
      </c>
      <c r="H290" s="96">
        <v>0.5</v>
      </c>
      <c r="I290" s="38">
        <v>150</v>
      </c>
      <c r="J290" s="95">
        <v>6.5</v>
      </c>
      <c r="K290" s="102">
        <v>298</v>
      </c>
      <c r="L290" s="96" t="s">
        <v>661</v>
      </c>
      <c r="M290" s="61" t="s">
        <v>662</v>
      </c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</row>
    <row r="291" spans="1:42" ht="15">
      <c r="A291" s="103" t="s">
        <v>666</v>
      </c>
      <c r="B291" s="95" t="s">
        <v>586</v>
      </c>
      <c r="C291" s="30">
        <f t="shared" ref="C291:C295" si="37">ROUND(D291 * 6.022 * PI() * (0.69)^2 / 58.69, 2)</f>
        <v>22.27</v>
      </c>
      <c r="D291" s="95">
        <v>145.13999999999999</v>
      </c>
      <c r="E291" s="97">
        <v>200</v>
      </c>
      <c r="F291" s="97">
        <v>91.2</v>
      </c>
      <c r="G291" s="96">
        <v>250</v>
      </c>
      <c r="H291" s="95">
        <v>2</v>
      </c>
      <c r="I291" s="38">
        <v>150</v>
      </c>
      <c r="J291" s="102">
        <v>7</v>
      </c>
      <c r="K291" s="102">
        <v>298</v>
      </c>
      <c r="L291" s="116" t="s">
        <v>667</v>
      </c>
      <c r="M291" s="61" t="s">
        <v>668</v>
      </c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</row>
    <row r="292" spans="1:42" ht="15">
      <c r="A292" s="117" t="s">
        <v>666</v>
      </c>
      <c r="B292" s="95" t="s">
        <v>605</v>
      </c>
      <c r="C292" s="30">
        <f t="shared" si="37"/>
        <v>18.05</v>
      </c>
      <c r="D292" s="110">
        <v>117.64</v>
      </c>
      <c r="E292" s="118">
        <v>200</v>
      </c>
      <c r="F292" s="97">
        <v>88.5</v>
      </c>
      <c r="G292" s="96">
        <v>250</v>
      </c>
      <c r="H292" s="110">
        <v>2</v>
      </c>
      <c r="I292" s="38">
        <v>150</v>
      </c>
      <c r="J292" s="102">
        <v>7</v>
      </c>
      <c r="K292" s="102">
        <v>298</v>
      </c>
      <c r="L292" s="95" t="s">
        <v>669</v>
      </c>
      <c r="M292" s="62" t="s">
        <v>670</v>
      </c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</row>
    <row r="293" spans="1:42" ht="15">
      <c r="A293" s="94" t="s">
        <v>666</v>
      </c>
      <c r="B293" s="95" t="s">
        <v>579</v>
      </c>
      <c r="C293" s="30">
        <f t="shared" si="37"/>
        <v>25.59</v>
      </c>
      <c r="D293" s="110">
        <v>166.72</v>
      </c>
      <c r="E293" s="118">
        <v>200</v>
      </c>
      <c r="F293" s="97">
        <v>80.099999999999994</v>
      </c>
      <c r="G293" s="96">
        <v>250</v>
      </c>
      <c r="H293" s="110">
        <v>2</v>
      </c>
      <c r="I293" s="38">
        <v>150</v>
      </c>
      <c r="J293" s="102">
        <v>7</v>
      </c>
      <c r="K293" s="102">
        <v>298</v>
      </c>
      <c r="L293" s="95" t="s">
        <v>669</v>
      </c>
      <c r="M293" s="62" t="s">
        <v>671</v>
      </c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</row>
    <row r="294" spans="1:42" ht="15">
      <c r="A294" s="94" t="s">
        <v>666</v>
      </c>
      <c r="B294" s="95" t="s">
        <v>403</v>
      </c>
      <c r="C294" s="30">
        <f t="shared" si="37"/>
        <v>42.65</v>
      </c>
      <c r="D294" s="110">
        <v>277.89</v>
      </c>
      <c r="E294" s="118">
        <v>200</v>
      </c>
      <c r="F294" s="97">
        <v>97.7</v>
      </c>
      <c r="G294" s="96">
        <v>250</v>
      </c>
      <c r="H294" s="110">
        <v>2</v>
      </c>
      <c r="I294" s="38">
        <v>150</v>
      </c>
      <c r="J294" s="102">
        <v>7</v>
      </c>
      <c r="K294" s="102">
        <v>298</v>
      </c>
      <c r="L294" s="95" t="s">
        <v>669</v>
      </c>
      <c r="M294" s="62" t="s">
        <v>672</v>
      </c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</row>
    <row r="295" spans="1:42" ht="15">
      <c r="A295" s="94" t="s">
        <v>666</v>
      </c>
      <c r="B295" s="95" t="s">
        <v>608</v>
      </c>
      <c r="C295" s="30">
        <f t="shared" si="37"/>
        <v>52.92</v>
      </c>
      <c r="D295" s="110">
        <v>344.85</v>
      </c>
      <c r="E295" s="118">
        <v>200</v>
      </c>
      <c r="F295" s="97">
        <v>99.1</v>
      </c>
      <c r="G295" s="95">
        <v>60</v>
      </c>
      <c r="H295" s="110">
        <v>2</v>
      </c>
      <c r="I295" s="38">
        <v>150</v>
      </c>
      <c r="J295" s="102">
        <v>7</v>
      </c>
      <c r="K295" s="102">
        <v>298</v>
      </c>
      <c r="L295" s="95" t="s">
        <v>669</v>
      </c>
      <c r="M295" s="62" t="s">
        <v>673</v>
      </c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</row>
    <row r="296" spans="1:42" ht="15.6">
      <c r="A296" s="119" t="s">
        <v>674</v>
      </c>
      <c r="B296" s="120" t="s">
        <v>330</v>
      </c>
      <c r="C296" s="121">
        <v>28.11</v>
      </c>
      <c r="D296" s="121">
        <v>0.16</v>
      </c>
      <c r="E296" s="122">
        <v>1.0049999999999999</v>
      </c>
      <c r="F296" s="121">
        <v>79.599999999999994</v>
      </c>
      <c r="G296" s="123">
        <v>2160</v>
      </c>
      <c r="H296" s="123">
        <v>5</v>
      </c>
      <c r="I296" s="123">
        <v>150</v>
      </c>
      <c r="J296" s="121">
        <v>5.5</v>
      </c>
      <c r="K296" s="121">
        <v>923</v>
      </c>
      <c r="L296" s="120" t="s">
        <v>675</v>
      </c>
      <c r="M296" s="124" t="s">
        <v>676</v>
      </c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</row>
    <row r="297" spans="1:42" ht="15.6">
      <c r="A297" s="119" t="s">
        <v>677</v>
      </c>
      <c r="B297" s="120" t="s">
        <v>330</v>
      </c>
      <c r="C297" s="121">
        <v>11.4</v>
      </c>
      <c r="D297" s="121">
        <v>0.48</v>
      </c>
      <c r="E297" s="122">
        <v>0.80249999999999999</v>
      </c>
      <c r="F297" s="121">
        <v>36.44</v>
      </c>
      <c r="G297" s="123">
        <v>2160</v>
      </c>
      <c r="H297" s="123">
        <v>5</v>
      </c>
      <c r="I297" s="123">
        <v>150</v>
      </c>
      <c r="J297" s="121">
        <v>5.5</v>
      </c>
      <c r="K297" s="121">
        <v>623</v>
      </c>
      <c r="L297" s="120" t="s">
        <v>675</v>
      </c>
      <c r="M297" s="124" t="s">
        <v>676</v>
      </c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</row>
    <row r="298" spans="1:42" ht="15.6">
      <c r="A298" s="119" t="s">
        <v>677</v>
      </c>
      <c r="B298" s="120" t="s">
        <v>330</v>
      </c>
      <c r="C298" s="121">
        <v>11.4</v>
      </c>
      <c r="D298" s="121">
        <v>0.48</v>
      </c>
      <c r="E298" s="122">
        <v>0.6</v>
      </c>
      <c r="F298" s="121">
        <v>37.5</v>
      </c>
      <c r="G298" s="123">
        <v>2160</v>
      </c>
      <c r="H298" s="123">
        <v>5</v>
      </c>
      <c r="I298" s="123">
        <v>150</v>
      </c>
      <c r="J298" s="121">
        <v>5.5</v>
      </c>
      <c r="K298" s="121">
        <v>623</v>
      </c>
      <c r="L298" s="120" t="s">
        <v>675</v>
      </c>
      <c r="M298" s="125" t="s">
        <v>678</v>
      </c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</row>
    <row r="299" spans="1:42" ht="15.6">
      <c r="A299" s="119" t="s">
        <v>677</v>
      </c>
      <c r="B299" s="120" t="s">
        <v>330</v>
      </c>
      <c r="C299" s="121">
        <v>11.4</v>
      </c>
      <c r="D299" s="121">
        <v>0.48</v>
      </c>
      <c r="E299" s="122">
        <v>1.0049999999999999</v>
      </c>
      <c r="F299" s="121">
        <v>29.1</v>
      </c>
      <c r="G299" s="123">
        <v>2160</v>
      </c>
      <c r="H299" s="123">
        <v>5</v>
      </c>
      <c r="I299" s="123">
        <v>150</v>
      </c>
      <c r="J299" s="121">
        <v>5.5</v>
      </c>
      <c r="K299" s="121">
        <v>623</v>
      </c>
      <c r="L299" s="120" t="s">
        <v>675</v>
      </c>
      <c r="M299" s="125" t="s">
        <v>679</v>
      </c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</row>
    <row r="300" spans="1:42" ht="15.6">
      <c r="A300" s="119" t="s">
        <v>680</v>
      </c>
      <c r="B300" s="120" t="s">
        <v>330</v>
      </c>
      <c r="C300" s="121">
        <v>10.72</v>
      </c>
      <c r="D300" s="121">
        <v>0.54</v>
      </c>
      <c r="E300" s="122">
        <v>0.80249999999999999</v>
      </c>
      <c r="F300" s="121">
        <v>32.71</v>
      </c>
      <c r="G300" s="123">
        <v>2160</v>
      </c>
      <c r="H300" s="123">
        <v>5</v>
      </c>
      <c r="I300" s="123">
        <v>150</v>
      </c>
      <c r="J300" s="121">
        <v>5.5</v>
      </c>
      <c r="K300" s="121">
        <v>723</v>
      </c>
      <c r="L300" s="120" t="s">
        <v>675</v>
      </c>
      <c r="M300" s="125" t="s">
        <v>681</v>
      </c>
      <c r="W300" s="74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  <c r="AI300" s="74"/>
      <c r="AJ300" s="74"/>
      <c r="AK300" s="74"/>
      <c r="AL300" s="74"/>
      <c r="AM300" s="74"/>
      <c r="AN300" s="74"/>
      <c r="AO300" s="74"/>
      <c r="AP300" s="74"/>
    </row>
    <row r="301" spans="1:42" ht="15.6">
      <c r="A301" s="119" t="s">
        <v>680</v>
      </c>
      <c r="B301" s="120" t="s">
        <v>330</v>
      </c>
      <c r="C301" s="121">
        <v>10.72</v>
      </c>
      <c r="D301" s="121">
        <v>0.54</v>
      </c>
      <c r="E301" s="122">
        <v>0.6</v>
      </c>
      <c r="F301" s="121">
        <v>36.25</v>
      </c>
      <c r="G301" s="123">
        <v>2160</v>
      </c>
      <c r="H301" s="123">
        <v>5</v>
      </c>
      <c r="I301" s="123">
        <v>150</v>
      </c>
      <c r="J301" s="121">
        <v>5.5</v>
      </c>
      <c r="K301" s="121">
        <v>723</v>
      </c>
      <c r="L301" s="120" t="s">
        <v>675</v>
      </c>
      <c r="M301" s="125" t="s">
        <v>682</v>
      </c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</row>
    <row r="302" spans="1:42" ht="15.6">
      <c r="A302" s="119" t="s">
        <v>680</v>
      </c>
      <c r="B302" s="120" t="s">
        <v>330</v>
      </c>
      <c r="C302" s="121">
        <v>10.72</v>
      </c>
      <c r="D302" s="121">
        <v>0.54</v>
      </c>
      <c r="E302" s="122">
        <v>1.0049999999999999</v>
      </c>
      <c r="F302" s="121">
        <v>34.32</v>
      </c>
      <c r="G302" s="123">
        <v>2160</v>
      </c>
      <c r="H302" s="123">
        <v>5</v>
      </c>
      <c r="I302" s="123">
        <v>150</v>
      </c>
      <c r="J302" s="121">
        <v>5.5</v>
      </c>
      <c r="K302" s="121">
        <v>723</v>
      </c>
      <c r="L302" s="120" t="s">
        <v>675</v>
      </c>
      <c r="M302" s="125" t="s">
        <v>683</v>
      </c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</row>
    <row r="303" spans="1:42" ht="15.6">
      <c r="A303" s="119" t="s">
        <v>684</v>
      </c>
      <c r="B303" s="120" t="s">
        <v>330</v>
      </c>
      <c r="C303" s="121">
        <v>17.02</v>
      </c>
      <c r="D303" s="121">
        <v>0.45800000000000002</v>
      </c>
      <c r="E303" s="122">
        <v>1.0049999999999999</v>
      </c>
      <c r="F303" s="121">
        <v>35.07</v>
      </c>
      <c r="G303" s="123">
        <v>2160</v>
      </c>
      <c r="H303" s="123">
        <v>5</v>
      </c>
      <c r="I303" s="123">
        <v>150</v>
      </c>
      <c r="J303" s="121">
        <v>5.5</v>
      </c>
      <c r="K303" s="121">
        <v>823</v>
      </c>
      <c r="L303" s="120" t="s">
        <v>675</v>
      </c>
      <c r="M303" s="125" t="s">
        <v>685</v>
      </c>
      <c r="W303" s="74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</row>
    <row r="304" spans="1:42" ht="15.6">
      <c r="A304" s="119" t="s">
        <v>684</v>
      </c>
      <c r="B304" s="120" t="s">
        <v>330</v>
      </c>
      <c r="C304" s="121">
        <v>17.02</v>
      </c>
      <c r="D304" s="121">
        <v>0.45800000000000002</v>
      </c>
      <c r="E304" s="122">
        <v>0.80249999999999999</v>
      </c>
      <c r="F304" s="121">
        <v>29.9</v>
      </c>
      <c r="G304" s="123">
        <v>2160</v>
      </c>
      <c r="H304" s="123">
        <v>5</v>
      </c>
      <c r="I304" s="123">
        <v>150</v>
      </c>
      <c r="J304" s="121">
        <v>5.5</v>
      </c>
      <c r="K304" s="121">
        <v>823</v>
      </c>
      <c r="L304" s="120" t="s">
        <v>675</v>
      </c>
      <c r="M304" s="125" t="s">
        <v>686</v>
      </c>
      <c r="W304" s="74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</row>
    <row r="305" spans="1:42" ht="15.6">
      <c r="A305" s="119" t="s">
        <v>684</v>
      </c>
      <c r="B305" s="120" t="s">
        <v>330</v>
      </c>
      <c r="C305" s="121">
        <v>17.02</v>
      </c>
      <c r="D305" s="121">
        <v>0.45800000000000002</v>
      </c>
      <c r="E305" s="122">
        <v>0.6</v>
      </c>
      <c r="F305" s="121">
        <v>41.25</v>
      </c>
      <c r="G305" s="123">
        <v>2160</v>
      </c>
      <c r="H305" s="123">
        <v>5</v>
      </c>
      <c r="I305" s="123">
        <v>150</v>
      </c>
      <c r="J305" s="121">
        <v>5.5</v>
      </c>
      <c r="K305" s="121">
        <v>823</v>
      </c>
      <c r="L305" s="120" t="s">
        <v>675</v>
      </c>
      <c r="M305" s="125" t="s">
        <v>687</v>
      </c>
      <c r="W305" s="74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  <c r="AI305" s="74"/>
      <c r="AJ305" s="74"/>
      <c r="AK305" s="74"/>
      <c r="AL305" s="74"/>
      <c r="AM305" s="74"/>
      <c r="AN305" s="74"/>
      <c r="AO305" s="74"/>
      <c r="AP305" s="74"/>
    </row>
    <row r="306" spans="1:42" ht="15.6">
      <c r="A306" s="119" t="s">
        <v>688</v>
      </c>
      <c r="B306" s="120" t="s">
        <v>330</v>
      </c>
      <c r="C306" s="121">
        <v>17.8</v>
      </c>
      <c r="D306" s="121">
        <v>0.254</v>
      </c>
      <c r="E306" s="122">
        <v>0.6</v>
      </c>
      <c r="F306" s="121">
        <v>35</v>
      </c>
      <c r="G306" s="123">
        <v>2160</v>
      </c>
      <c r="H306" s="123">
        <v>5</v>
      </c>
      <c r="I306" s="123">
        <v>150</v>
      </c>
      <c r="J306" s="121">
        <v>5.5</v>
      </c>
      <c r="K306" s="121">
        <v>923</v>
      </c>
      <c r="L306" s="120" t="s">
        <v>675</v>
      </c>
      <c r="M306" s="125" t="s">
        <v>689</v>
      </c>
      <c r="W306" s="74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</row>
    <row r="307" spans="1:42" ht="15.6">
      <c r="A307" s="119" t="s">
        <v>688</v>
      </c>
      <c r="B307" s="120" t="s">
        <v>330</v>
      </c>
      <c r="C307" s="121">
        <v>17.8</v>
      </c>
      <c r="D307" s="121">
        <v>0.254</v>
      </c>
      <c r="E307" s="122">
        <v>1.0049999999999999</v>
      </c>
      <c r="F307" s="121">
        <v>20.14</v>
      </c>
      <c r="G307" s="123">
        <v>2160</v>
      </c>
      <c r="H307" s="123">
        <v>5</v>
      </c>
      <c r="I307" s="123">
        <v>150</v>
      </c>
      <c r="J307" s="121">
        <v>5.5</v>
      </c>
      <c r="K307" s="121">
        <v>923</v>
      </c>
      <c r="L307" s="120" t="s">
        <v>675</v>
      </c>
      <c r="M307" s="125" t="s">
        <v>690</v>
      </c>
      <c r="W307" s="74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  <c r="AI307" s="74"/>
      <c r="AJ307" s="74"/>
      <c r="AK307" s="74"/>
      <c r="AL307" s="74"/>
      <c r="AM307" s="74"/>
      <c r="AN307" s="74"/>
      <c r="AO307" s="74"/>
      <c r="AP307" s="74"/>
    </row>
    <row r="308" spans="1:42" ht="15.75" customHeight="1">
      <c r="A308" s="119" t="s">
        <v>688</v>
      </c>
      <c r="B308" s="120" t="s">
        <v>330</v>
      </c>
      <c r="C308" s="121">
        <v>17.8</v>
      </c>
      <c r="D308" s="121">
        <v>0.254</v>
      </c>
      <c r="E308" s="122">
        <v>0.80249999999999999</v>
      </c>
      <c r="F308" s="121">
        <v>31.77</v>
      </c>
      <c r="G308" s="123">
        <v>2160</v>
      </c>
      <c r="H308" s="123">
        <v>5</v>
      </c>
      <c r="I308" s="123">
        <v>150</v>
      </c>
      <c r="J308" s="121">
        <v>5.5</v>
      </c>
      <c r="K308" s="121">
        <v>923</v>
      </c>
      <c r="L308" s="120" t="s">
        <v>675</v>
      </c>
      <c r="M308" s="125" t="s">
        <v>691</v>
      </c>
      <c r="W308" s="74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  <c r="AI308" s="74"/>
      <c r="AJ308" s="74"/>
      <c r="AK308" s="74"/>
      <c r="AL308" s="74"/>
      <c r="AM308" s="74"/>
      <c r="AN308" s="74"/>
      <c r="AO308" s="74"/>
      <c r="AP308" s="74"/>
    </row>
    <row r="309" spans="1:42" ht="15.6">
      <c r="A309" s="119" t="s">
        <v>692</v>
      </c>
      <c r="B309" s="120" t="s">
        <v>330</v>
      </c>
      <c r="C309" s="121">
        <v>12.44</v>
      </c>
      <c r="D309" s="121">
        <v>0.495</v>
      </c>
      <c r="E309" s="122">
        <v>0.6</v>
      </c>
      <c r="F309" s="121">
        <v>33.75</v>
      </c>
      <c r="G309" s="123">
        <v>2160</v>
      </c>
      <c r="H309" s="123">
        <v>5</v>
      </c>
      <c r="I309" s="123">
        <v>150</v>
      </c>
      <c r="J309" s="121">
        <v>5.5</v>
      </c>
      <c r="K309" s="121">
        <v>623</v>
      </c>
      <c r="L309" s="120" t="s">
        <v>675</v>
      </c>
      <c r="M309" s="124" t="s">
        <v>693</v>
      </c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</row>
    <row r="310" spans="1:42" ht="15.6">
      <c r="A310" s="119" t="s">
        <v>692</v>
      </c>
      <c r="B310" s="120" t="s">
        <v>330</v>
      </c>
      <c r="C310" s="121">
        <v>12.44</v>
      </c>
      <c r="D310" s="121">
        <v>0.495</v>
      </c>
      <c r="E310" s="122">
        <v>1.0049999999999999</v>
      </c>
      <c r="F310" s="121">
        <v>26.11</v>
      </c>
      <c r="G310" s="123">
        <v>2160</v>
      </c>
      <c r="H310" s="123">
        <v>5</v>
      </c>
      <c r="I310" s="123">
        <v>150</v>
      </c>
      <c r="J310" s="121">
        <v>5.5</v>
      </c>
      <c r="K310" s="121">
        <v>623</v>
      </c>
      <c r="L310" s="120" t="s">
        <v>675</v>
      </c>
      <c r="M310" s="125" t="s">
        <v>694</v>
      </c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</row>
    <row r="311" spans="1:42" ht="15.6">
      <c r="A311" s="119" t="s">
        <v>692</v>
      </c>
      <c r="B311" s="120" t="s">
        <v>330</v>
      </c>
      <c r="C311" s="121">
        <v>12.44</v>
      </c>
      <c r="D311" s="121">
        <v>0.495</v>
      </c>
      <c r="E311" s="122">
        <v>0.80249999999999999</v>
      </c>
      <c r="F311" s="121">
        <v>32.700000000000003</v>
      </c>
      <c r="G311" s="123">
        <v>2160</v>
      </c>
      <c r="H311" s="123">
        <v>5</v>
      </c>
      <c r="I311" s="123">
        <v>150</v>
      </c>
      <c r="J311" s="121">
        <v>5.5</v>
      </c>
      <c r="K311" s="121">
        <v>623</v>
      </c>
      <c r="L311" s="120" t="s">
        <v>675</v>
      </c>
      <c r="M311" s="125" t="s">
        <v>695</v>
      </c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</row>
    <row r="312" spans="1:42" ht="15.6">
      <c r="A312" s="119" t="s">
        <v>696</v>
      </c>
      <c r="B312" s="120" t="s">
        <v>330</v>
      </c>
      <c r="C312" s="121">
        <v>14.42</v>
      </c>
      <c r="D312" s="121">
        <v>0.55300000000000005</v>
      </c>
      <c r="E312" s="122">
        <v>0.6</v>
      </c>
      <c r="F312" s="121">
        <v>33.75</v>
      </c>
      <c r="G312" s="123">
        <v>2160</v>
      </c>
      <c r="H312" s="123">
        <v>5</v>
      </c>
      <c r="I312" s="123">
        <v>150</v>
      </c>
      <c r="J312" s="121">
        <v>5.5</v>
      </c>
      <c r="K312" s="121">
        <v>723</v>
      </c>
      <c r="L312" s="120" t="s">
        <v>675</v>
      </c>
      <c r="M312" s="125" t="s">
        <v>697</v>
      </c>
      <c r="W312" s="74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  <c r="AI312" s="74"/>
      <c r="AJ312" s="74"/>
      <c r="AK312" s="74"/>
      <c r="AL312" s="74"/>
      <c r="AM312" s="74"/>
      <c r="AN312" s="74"/>
      <c r="AO312" s="74"/>
      <c r="AP312" s="74"/>
    </row>
    <row r="313" spans="1:42" ht="15.6">
      <c r="A313" s="119" t="s">
        <v>696</v>
      </c>
      <c r="B313" s="120" t="s">
        <v>330</v>
      </c>
      <c r="C313" s="121">
        <v>14.42</v>
      </c>
      <c r="D313" s="121">
        <v>0.55300000000000005</v>
      </c>
      <c r="E313" s="122">
        <v>0.80249999999999999</v>
      </c>
      <c r="F313" s="121">
        <v>29.9</v>
      </c>
      <c r="G313" s="123">
        <v>2160</v>
      </c>
      <c r="H313" s="123">
        <v>5</v>
      </c>
      <c r="I313" s="123">
        <v>150</v>
      </c>
      <c r="J313" s="121">
        <v>5.5</v>
      </c>
      <c r="K313" s="121">
        <v>723</v>
      </c>
      <c r="L313" s="120" t="s">
        <v>675</v>
      </c>
      <c r="M313" s="125" t="s">
        <v>698</v>
      </c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</row>
    <row r="314" spans="1:42" ht="15.6">
      <c r="A314" s="119" t="s">
        <v>699</v>
      </c>
      <c r="B314" s="120" t="s">
        <v>330</v>
      </c>
      <c r="C314" s="121">
        <v>37.11</v>
      </c>
      <c r="D314" s="121">
        <v>0.06</v>
      </c>
      <c r="E314" s="122">
        <v>0.6</v>
      </c>
      <c r="F314" s="121">
        <v>11.25</v>
      </c>
      <c r="G314" s="123">
        <v>2160</v>
      </c>
      <c r="H314" s="123">
        <v>5</v>
      </c>
      <c r="I314" s="123">
        <v>150</v>
      </c>
      <c r="J314" s="121">
        <v>5.5</v>
      </c>
      <c r="K314" s="121">
        <v>823</v>
      </c>
      <c r="L314" s="120" t="s">
        <v>675</v>
      </c>
      <c r="M314" s="125" t="s">
        <v>700</v>
      </c>
      <c r="W314" s="74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  <c r="AI314" s="74"/>
      <c r="AJ314" s="74"/>
      <c r="AK314" s="74"/>
      <c r="AL314" s="74"/>
      <c r="AM314" s="74"/>
      <c r="AN314" s="74"/>
      <c r="AO314" s="74"/>
      <c r="AP314" s="74"/>
    </row>
    <row r="315" spans="1:42" ht="15.6">
      <c r="A315" s="119" t="s">
        <v>699</v>
      </c>
      <c r="B315" s="120" t="s">
        <v>330</v>
      </c>
      <c r="C315" s="121">
        <v>37.11</v>
      </c>
      <c r="D315" s="121">
        <v>0.06</v>
      </c>
      <c r="E315" s="122">
        <v>1.0049999999999999</v>
      </c>
      <c r="F315" s="121">
        <v>5.97</v>
      </c>
      <c r="G315" s="123">
        <v>2160</v>
      </c>
      <c r="H315" s="123">
        <v>5</v>
      </c>
      <c r="I315" s="123">
        <v>150</v>
      </c>
      <c r="J315" s="121">
        <v>5.5</v>
      </c>
      <c r="K315" s="121">
        <v>823</v>
      </c>
      <c r="L315" s="120" t="s">
        <v>675</v>
      </c>
      <c r="M315" s="125" t="s">
        <v>701</v>
      </c>
      <c r="W315" s="74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  <c r="AI315" s="74"/>
      <c r="AJ315" s="74"/>
      <c r="AK315" s="74"/>
      <c r="AL315" s="74"/>
      <c r="AM315" s="74"/>
      <c r="AN315" s="74"/>
      <c r="AO315" s="74"/>
      <c r="AP315" s="74"/>
    </row>
    <row r="316" spans="1:42" ht="15.6">
      <c r="A316" s="119" t="s">
        <v>699</v>
      </c>
      <c r="B316" s="120" t="s">
        <v>330</v>
      </c>
      <c r="C316" s="121">
        <v>37.11</v>
      </c>
      <c r="D316" s="121">
        <v>0.06</v>
      </c>
      <c r="E316" s="122">
        <v>0.80249999999999999</v>
      </c>
      <c r="F316" s="121">
        <v>7.47</v>
      </c>
      <c r="G316" s="123">
        <v>2160</v>
      </c>
      <c r="H316" s="123">
        <v>5</v>
      </c>
      <c r="I316" s="123">
        <v>150</v>
      </c>
      <c r="J316" s="121">
        <v>5.5</v>
      </c>
      <c r="K316" s="121">
        <v>823</v>
      </c>
      <c r="L316" s="120" t="s">
        <v>675</v>
      </c>
      <c r="M316" s="125" t="s">
        <v>702</v>
      </c>
      <c r="W316" s="74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</row>
    <row r="317" spans="1:42" ht="15.6">
      <c r="A317" s="119" t="s">
        <v>703</v>
      </c>
      <c r="B317" s="120" t="s">
        <v>330</v>
      </c>
      <c r="C317" s="121">
        <v>47.63</v>
      </c>
      <c r="D317" s="121">
        <v>0.32</v>
      </c>
      <c r="E317" s="122">
        <v>0.80249999999999999</v>
      </c>
      <c r="F317" s="121">
        <v>22.42</v>
      </c>
      <c r="G317" s="123">
        <v>2160</v>
      </c>
      <c r="H317" s="123">
        <v>5</v>
      </c>
      <c r="I317" s="123">
        <v>150</v>
      </c>
      <c r="J317" s="121">
        <v>5.5</v>
      </c>
      <c r="K317" s="121">
        <v>923</v>
      </c>
      <c r="L317" s="120" t="s">
        <v>675</v>
      </c>
      <c r="M317" s="125" t="s">
        <v>704</v>
      </c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</row>
    <row r="318" spans="1:42" ht="15.6">
      <c r="A318" s="119" t="s">
        <v>703</v>
      </c>
      <c r="B318" s="120" t="s">
        <v>330</v>
      </c>
      <c r="C318" s="121">
        <v>47.63</v>
      </c>
      <c r="D318" s="121">
        <v>0.32</v>
      </c>
      <c r="E318" s="122">
        <v>0.6</v>
      </c>
      <c r="F318" s="121">
        <v>23.75</v>
      </c>
      <c r="G318" s="123">
        <v>2160</v>
      </c>
      <c r="H318" s="123">
        <v>5</v>
      </c>
      <c r="I318" s="123">
        <v>150</v>
      </c>
      <c r="J318" s="121">
        <v>5.5</v>
      </c>
      <c r="K318" s="121">
        <v>923</v>
      </c>
      <c r="L318" s="120" t="s">
        <v>675</v>
      </c>
      <c r="M318" s="125" t="s">
        <v>705</v>
      </c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</row>
    <row r="319" spans="1:42" ht="15.6">
      <c r="A319" s="119" t="s">
        <v>703</v>
      </c>
      <c r="B319" s="120" t="s">
        <v>330</v>
      </c>
      <c r="C319" s="121">
        <v>47.63</v>
      </c>
      <c r="D319" s="121">
        <v>0.32</v>
      </c>
      <c r="E319" s="122">
        <v>1.0049999999999999</v>
      </c>
      <c r="F319" s="121">
        <v>21.64</v>
      </c>
      <c r="G319" s="123">
        <v>2160</v>
      </c>
      <c r="H319" s="123">
        <v>5</v>
      </c>
      <c r="I319" s="123">
        <v>150</v>
      </c>
      <c r="J319" s="121">
        <v>5.5</v>
      </c>
      <c r="K319" s="121">
        <v>923</v>
      </c>
      <c r="L319" s="120" t="s">
        <v>675</v>
      </c>
      <c r="M319" s="125" t="s">
        <v>706</v>
      </c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4"/>
      <c r="AP319" s="74"/>
    </row>
    <row r="320" spans="1:42" ht="15.6">
      <c r="A320" s="119" t="s">
        <v>707</v>
      </c>
      <c r="B320" s="120" t="s">
        <v>330</v>
      </c>
      <c r="C320" s="121">
        <v>58.03</v>
      </c>
      <c r="D320" s="121">
        <v>0.08</v>
      </c>
      <c r="E320" s="122">
        <v>1.0049999999999999</v>
      </c>
      <c r="F320" s="121">
        <v>5.97</v>
      </c>
      <c r="G320" s="123">
        <v>2160</v>
      </c>
      <c r="H320" s="123">
        <v>5</v>
      </c>
      <c r="I320" s="123">
        <v>150</v>
      </c>
      <c r="J320" s="121">
        <v>5.5</v>
      </c>
      <c r="K320" s="121">
        <v>823</v>
      </c>
      <c r="L320" s="120" t="s">
        <v>675</v>
      </c>
      <c r="M320" s="124" t="s">
        <v>708</v>
      </c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</row>
    <row r="321" spans="1:42" ht="15.6">
      <c r="A321" s="119" t="s">
        <v>707</v>
      </c>
      <c r="B321" s="120" t="s">
        <v>330</v>
      </c>
      <c r="C321" s="121">
        <v>58.03</v>
      </c>
      <c r="D321" s="121">
        <v>0.08</v>
      </c>
      <c r="E321" s="122">
        <v>0.6</v>
      </c>
      <c r="F321" s="121">
        <v>8.75</v>
      </c>
      <c r="G321" s="123">
        <v>2160</v>
      </c>
      <c r="H321" s="123">
        <v>5</v>
      </c>
      <c r="I321" s="123">
        <v>150</v>
      </c>
      <c r="J321" s="121">
        <v>5.5</v>
      </c>
      <c r="K321" s="121">
        <v>823</v>
      </c>
      <c r="L321" s="120" t="s">
        <v>675</v>
      </c>
      <c r="M321" s="124" t="s">
        <v>708</v>
      </c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</row>
    <row r="322" spans="1:42" ht="15.6">
      <c r="A322" s="119" t="s">
        <v>707</v>
      </c>
      <c r="B322" s="120" t="s">
        <v>330</v>
      </c>
      <c r="C322" s="121">
        <v>58.03</v>
      </c>
      <c r="D322" s="121">
        <v>0.08</v>
      </c>
      <c r="E322" s="122">
        <v>0.80249999999999999</v>
      </c>
      <c r="F322" s="121">
        <v>7.47</v>
      </c>
      <c r="G322" s="123">
        <v>2160</v>
      </c>
      <c r="H322" s="123">
        <v>5</v>
      </c>
      <c r="I322" s="123">
        <v>150</v>
      </c>
      <c r="J322" s="121">
        <v>5.5</v>
      </c>
      <c r="K322" s="121">
        <v>823</v>
      </c>
      <c r="L322" s="120" t="s">
        <v>675</v>
      </c>
      <c r="M322" s="124" t="s">
        <v>708</v>
      </c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</row>
    <row r="323" spans="1:42" ht="15.6">
      <c r="A323" s="119" t="s">
        <v>709</v>
      </c>
      <c r="B323" s="120" t="s">
        <v>330</v>
      </c>
      <c r="C323" s="121">
        <v>16.559999999999999</v>
      </c>
      <c r="D323" s="121">
        <v>0.03</v>
      </c>
      <c r="E323" s="122">
        <v>0.80249999999999999</v>
      </c>
      <c r="F323" s="121">
        <v>3.73</v>
      </c>
      <c r="G323" s="123">
        <v>2160</v>
      </c>
      <c r="H323" s="123">
        <v>5</v>
      </c>
      <c r="I323" s="123">
        <v>150</v>
      </c>
      <c r="J323" s="121">
        <v>5.5</v>
      </c>
      <c r="K323" s="121">
        <v>623</v>
      </c>
      <c r="L323" s="120" t="s">
        <v>675</v>
      </c>
      <c r="M323" s="124" t="s">
        <v>708</v>
      </c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</row>
    <row r="324" spans="1:42" ht="15.6">
      <c r="A324" s="119" t="s">
        <v>709</v>
      </c>
      <c r="B324" s="120" t="s">
        <v>330</v>
      </c>
      <c r="C324" s="121">
        <v>16.559999999999999</v>
      </c>
      <c r="D324" s="121">
        <v>0.03</v>
      </c>
      <c r="E324" s="122">
        <v>1.0049999999999999</v>
      </c>
      <c r="F324" s="121">
        <v>2.23</v>
      </c>
      <c r="G324" s="123">
        <v>2160</v>
      </c>
      <c r="H324" s="123">
        <v>5</v>
      </c>
      <c r="I324" s="123">
        <v>150</v>
      </c>
      <c r="J324" s="121">
        <v>5.5</v>
      </c>
      <c r="K324" s="121">
        <v>623</v>
      </c>
      <c r="L324" s="120" t="s">
        <v>675</v>
      </c>
      <c r="M324" s="124" t="s">
        <v>708</v>
      </c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</row>
    <row r="325" spans="1:42" ht="15.6">
      <c r="A325" s="119" t="s">
        <v>709</v>
      </c>
      <c r="B325" s="120" t="s">
        <v>330</v>
      </c>
      <c r="C325" s="121">
        <v>16.559999999999999</v>
      </c>
      <c r="D325" s="121">
        <v>0.03</v>
      </c>
      <c r="E325" s="122">
        <v>0.6</v>
      </c>
      <c r="F325" s="121">
        <v>3.75</v>
      </c>
      <c r="G325" s="123">
        <v>2160</v>
      </c>
      <c r="H325" s="123">
        <v>5</v>
      </c>
      <c r="I325" s="123">
        <v>150</v>
      </c>
      <c r="J325" s="121">
        <v>5.5</v>
      </c>
      <c r="K325" s="121">
        <v>623</v>
      </c>
      <c r="L325" s="120" t="s">
        <v>675</v>
      </c>
      <c r="M325" s="124" t="s">
        <v>708</v>
      </c>
      <c r="N325" s="126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</row>
    <row r="326" spans="1:42" ht="15.6">
      <c r="A326" s="119" t="s">
        <v>710</v>
      </c>
      <c r="B326" s="120" t="s">
        <v>330</v>
      </c>
      <c r="C326" s="121">
        <v>24.46</v>
      </c>
      <c r="D326" s="121">
        <v>3.5999999999999997E-2</v>
      </c>
      <c r="E326" s="122">
        <v>0.6</v>
      </c>
      <c r="F326" s="121">
        <v>6.25</v>
      </c>
      <c r="G326" s="123">
        <v>2160</v>
      </c>
      <c r="H326" s="123">
        <v>5</v>
      </c>
      <c r="I326" s="123">
        <v>150</v>
      </c>
      <c r="J326" s="121">
        <v>5.5</v>
      </c>
      <c r="K326" s="121">
        <v>923</v>
      </c>
      <c r="L326" s="120" t="s">
        <v>675</v>
      </c>
      <c r="M326" s="124" t="s">
        <v>708</v>
      </c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</row>
    <row r="327" spans="1:42" ht="15.6">
      <c r="A327" s="119" t="s">
        <v>710</v>
      </c>
      <c r="B327" s="120" t="s">
        <v>330</v>
      </c>
      <c r="C327" s="121">
        <v>24.46</v>
      </c>
      <c r="D327" s="121">
        <v>3.5999999999999997E-2</v>
      </c>
      <c r="E327" s="122">
        <v>1.0049999999999999</v>
      </c>
      <c r="F327" s="121">
        <v>3.73</v>
      </c>
      <c r="G327" s="123">
        <v>2160</v>
      </c>
      <c r="H327" s="123">
        <v>5</v>
      </c>
      <c r="I327" s="123">
        <v>150</v>
      </c>
      <c r="J327" s="121">
        <v>5.5</v>
      </c>
      <c r="K327" s="121">
        <v>923</v>
      </c>
      <c r="L327" s="120" t="s">
        <v>675</v>
      </c>
      <c r="M327" s="124" t="s">
        <v>708</v>
      </c>
      <c r="W327" s="106"/>
      <c r="X327" s="106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</row>
    <row r="328" spans="1:42" ht="15.6">
      <c r="A328" s="119" t="s">
        <v>710</v>
      </c>
      <c r="B328" s="120" t="s">
        <v>330</v>
      </c>
      <c r="C328" s="121">
        <v>24.46</v>
      </c>
      <c r="D328" s="121">
        <v>3.5999999999999997E-2</v>
      </c>
      <c r="E328" s="122">
        <v>0.80249999999999999</v>
      </c>
      <c r="F328" s="121">
        <v>2.8</v>
      </c>
      <c r="G328" s="123">
        <v>2160</v>
      </c>
      <c r="H328" s="123">
        <v>5</v>
      </c>
      <c r="I328" s="123">
        <v>150</v>
      </c>
      <c r="J328" s="121">
        <v>5.5</v>
      </c>
      <c r="K328" s="121">
        <v>923</v>
      </c>
      <c r="L328" s="120" t="s">
        <v>675</v>
      </c>
      <c r="M328" s="124" t="s">
        <v>708</v>
      </c>
      <c r="O328" s="126"/>
      <c r="W328" s="106"/>
      <c r="X328" s="106"/>
      <c r="Y328" s="106"/>
      <c r="Z328" s="106"/>
      <c r="AA328" s="106"/>
      <c r="AB328" s="106"/>
      <c r="AC328" s="106"/>
      <c r="AD328" s="106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</row>
    <row r="329" spans="1:42" ht="15.6">
      <c r="A329" s="119" t="s">
        <v>711</v>
      </c>
      <c r="B329" s="120" t="s">
        <v>330</v>
      </c>
      <c r="C329" s="121">
        <v>18.579999999999998</v>
      </c>
      <c r="D329" s="121">
        <v>0.23</v>
      </c>
      <c r="E329" s="122">
        <v>0.80249999999999999</v>
      </c>
      <c r="F329" s="121">
        <v>22.42</v>
      </c>
      <c r="G329" s="123">
        <v>2160</v>
      </c>
      <c r="H329" s="123">
        <v>5</v>
      </c>
      <c r="I329" s="123">
        <v>150</v>
      </c>
      <c r="J329" s="121">
        <v>5.5</v>
      </c>
      <c r="K329" s="121">
        <v>823</v>
      </c>
      <c r="L329" s="120" t="s">
        <v>675</v>
      </c>
      <c r="M329" s="124" t="s">
        <v>708</v>
      </c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</row>
    <row r="330" spans="1:42" ht="15.6">
      <c r="A330" s="119" t="s">
        <v>711</v>
      </c>
      <c r="B330" s="120" t="s">
        <v>330</v>
      </c>
      <c r="C330" s="121">
        <v>18.579999999999998</v>
      </c>
      <c r="D330" s="121">
        <v>0.23</v>
      </c>
      <c r="E330" s="122">
        <v>1.0049999999999999</v>
      </c>
      <c r="F330" s="121">
        <v>20.14</v>
      </c>
      <c r="G330" s="123">
        <v>2160</v>
      </c>
      <c r="H330" s="123">
        <v>5</v>
      </c>
      <c r="I330" s="123">
        <v>150</v>
      </c>
      <c r="J330" s="121">
        <v>5.5</v>
      </c>
      <c r="K330" s="121">
        <v>823</v>
      </c>
      <c r="L330" s="120" t="s">
        <v>675</v>
      </c>
      <c r="M330" s="124" t="s">
        <v>708</v>
      </c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</row>
    <row r="331" spans="1:42" ht="15.6">
      <c r="A331" s="119" t="s">
        <v>711</v>
      </c>
      <c r="B331" s="120" t="s">
        <v>330</v>
      </c>
      <c r="C331" s="121">
        <v>18.579999999999998</v>
      </c>
      <c r="D331" s="121">
        <v>0.23</v>
      </c>
      <c r="E331" s="122">
        <v>0.6</v>
      </c>
      <c r="F331" s="121">
        <v>21.25</v>
      </c>
      <c r="G331" s="123">
        <v>2160</v>
      </c>
      <c r="H331" s="123">
        <v>5</v>
      </c>
      <c r="I331" s="123">
        <v>150</v>
      </c>
      <c r="J331" s="121">
        <v>5.5</v>
      </c>
      <c r="K331" s="121">
        <v>823</v>
      </c>
      <c r="L331" s="120" t="s">
        <v>675</v>
      </c>
      <c r="M331" s="124" t="s">
        <v>708</v>
      </c>
    </row>
    <row r="332" spans="1:42" ht="15.6">
      <c r="A332" s="119" t="s">
        <v>711</v>
      </c>
      <c r="B332" s="120" t="s">
        <v>330</v>
      </c>
      <c r="C332" s="121">
        <v>18.579999999999998</v>
      </c>
      <c r="D332" s="121">
        <v>0.23</v>
      </c>
      <c r="E332" s="122">
        <v>0.6</v>
      </c>
      <c r="F332" s="121">
        <v>26.25</v>
      </c>
      <c r="G332" s="123">
        <v>2160</v>
      </c>
      <c r="H332" s="123">
        <v>5</v>
      </c>
      <c r="I332" s="123">
        <v>150</v>
      </c>
      <c r="J332" s="121">
        <v>5.5</v>
      </c>
      <c r="K332" s="121">
        <v>823</v>
      </c>
      <c r="L332" s="120" t="s">
        <v>675</v>
      </c>
      <c r="M332" s="124" t="s">
        <v>708</v>
      </c>
    </row>
    <row r="333" spans="1:42" ht="15.6">
      <c r="A333" s="119" t="s">
        <v>674</v>
      </c>
      <c r="B333" s="120" t="s">
        <v>330</v>
      </c>
      <c r="C333" s="121">
        <v>28.11</v>
      </c>
      <c r="D333" s="121">
        <v>0.14000000000000001</v>
      </c>
      <c r="E333" s="122">
        <v>0.80249999999999999</v>
      </c>
      <c r="F333" s="121">
        <v>16.82</v>
      </c>
      <c r="G333" s="123">
        <v>2160</v>
      </c>
      <c r="H333" s="123">
        <v>5</v>
      </c>
      <c r="I333" s="123">
        <v>150</v>
      </c>
      <c r="J333" s="121">
        <v>5.5</v>
      </c>
      <c r="K333" s="121">
        <v>923</v>
      </c>
      <c r="L333" s="120" t="s">
        <v>675</v>
      </c>
      <c r="M333" s="124" t="s">
        <v>708</v>
      </c>
    </row>
    <row r="334" spans="1:42" ht="15.6">
      <c r="A334" s="119" t="s">
        <v>712</v>
      </c>
      <c r="B334" s="120" t="s">
        <v>330</v>
      </c>
      <c r="C334" s="121">
        <v>14.03</v>
      </c>
      <c r="D334" s="121">
        <v>0.28999999999999998</v>
      </c>
      <c r="E334" s="122">
        <v>1.0049999999999999</v>
      </c>
      <c r="F334" s="121">
        <v>23.88</v>
      </c>
      <c r="G334" s="123">
        <v>2160</v>
      </c>
      <c r="H334" s="123">
        <v>5</v>
      </c>
      <c r="I334" s="123">
        <v>150</v>
      </c>
      <c r="J334" s="121">
        <v>5.5</v>
      </c>
      <c r="K334" s="121">
        <v>623</v>
      </c>
      <c r="L334" s="120" t="s">
        <v>675</v>
      </c>
      <c r="M334" s="124" t="s">
        <v>708</v>
      </c>
    </row>
    <row r="335" spans="1:42" ht="15.6">
      <c r="A335" s="119" t="s">
        <v>712</v>
      </c>
      <c r="B335" s="120" t="s">
        <v>330</v>
      </c>
      <c r="C335" s="121">
        <v>14.03</v>
      </c>
      <c r="D335" s="121">
        <v>0.28999999999999998</v>
      </c>
      <c r="E335" s="122">
        <v>0.6</v>
      </c>
      <c r="F335" s="121">
        <v>23.75</v>
      </c>
      <c r="G335" s="123">
        <v>2160</v>
      </c>
      <c r="H335" s="123">
        <v>5</v>
      </c>
      <c r="I335" s="123">
        <v>150</v>
      </c>
      <c r="J335" s="121">
        <v>5.5</v>
      </c>
      <c r="K335" s="121">
        <v>623</v>
      </c>
      <c r="L335" s="120" t="s">
        <v>675</v>
      </c>
      <c r="M335" s="124" t="s">
        <v>708</v>
      </c>
    </row>
    <row r="336" spans="1:42" ht="15.6">
      <c r="A336" s="119" t="s">
        <v>712</v>
      </c>
      <c r="B336" s="120" t="s">
        <v>330</v>
      </c>
      <c r="C336" s="121">
        <v>14.03</v>
      </c>
      <c r="D336" s="121">
        <v>0.28999999999999998</v>
      </c>
      <c r="E336" s="122">
        <v>0.80249999999999999</v>
      </c>
      <c r="F336" s="121">
        <v>23.36</v>
      </c>
      <c r="G336" s="123">
        <v>2160</v>
      </c>
      <c r="H336" s="123">
        <v>5</v>
      </c>
      <c r="I336" s="123">
        <v>150</v>
      </c>
      <c r="J336" s="121">
        <v>5.5</v>
      </c>
      <c r="K336" s="121">
        <v>623</v>
      </c>
      <c r="L336" s="120" t="s">
        <v>675</v>
      </c>
      <c r="M336" s="124" t="s">
        <v>708</v>
      </c>
    </row>
    <row r="337" spans="1:13" ht="15.6">
      <c r="A337" s="119" t="s">
        <v>713</v>
      </c>
      <c r="B337" s="120" t="s">
        <v>330</v>
      </c>
      <c r="C337" s="121">
        <v>14.08</v>
      </c>
      <c r="D337" s="121">
        <v>0.18</v>
      </c>
      <c r="E337" s="122">
        <v>0.6</v>
      </c>
      <c r="F337" s="121">
        <v>28.75</v>
      </c>
      <c r="G337" s="123">
        <v>2160</v>
      </c>
      <c r="H337" s="123">
        <v>5</v>
      </c>
      <c r="I337" s="123">
        <v>150</v>
      </c>
      <c r="J337" s="121">
        <v>5.5</v>
      </c>
      <c r="K337" s="121">
        <v>723</v>
      </c>
      <c r="L337" s="120" t="s">
        <v>675</v>
      </c>
      <c r="M337" s="124" t="s">
        <v>708</v>
      </c>
    </row>
    <row r="338" spans="1:13" ht="15.6">
      <c r="A338" s="119" t="s">
        <v>713</v>
      </c>
      <c r="B338" s="120" t="s">
        <v>330</v>
      </c>
      <c r="C338" s="121">
        <v>14.08</v>
      </c>
      <c r="D338" s="121">
        <v>0.18</v>
      </c>
      <c r="E338" s="122">
        <v>0.80249999999999999</v>
      </c>
      <c r="F338" s="121">
        <v>17.75</v>
      </c>
      <c r="G338" s="123">
        <v>2160</v>
      </c>
      <c r="H338" s="123">
        <v>5</v>
      </c>
      <c r="I338" s="123">
        <v>150</v>
      </c>
      <c r="J338" s="121">
        <v>5.5</v>
      </c>
      <c r="K338" s="121">
        <v>723</v>
      </c>
      <c r="L338" s="120" t="s">
        <v>675</v>
      </c>
      <c r="M338" s="124" t="s">
        <v>708</v>
      </c>
    </row>
    <row r="339" spans="1:13" ht="15.6">
      <c r="A339" s="119" t="s">
        <v>714</v>
      </c>
      <c r="B339" s="120" t="s">
        <v>110</v>
      </c>
      <c r="C339" s="121">
        <v>3.46</v>
      </c>
      <c r="D339" s="121">
        <v>73.17</v>
      </c>
      <c r="E339" s="122">
        <v>200</v>
      </c>
      <c r="F339" s="121">
        <v>35.999325540000001</v>
      </c>
      <c r="G339" s="123">
        <v>1440</v>
      </c>
      <c r="H339" s="123">
        <v>1</v>
      </c>
      <c r="I339" s="123">
        <v>180</v>
      </c>
      <c r="J339" s="121">
        <v>6</v>
      </c>
      <c r="K339" s="121">
        <v>573</v>
      </c>
      <c r="L339" s="120" t="s">
        <v>715</v>
      </c>
      <c r="M339" s="43" t="s">
        <v>716</v>
      </c>
    </row>
    <row r="340" spans="1:13" ht="15.6">
      <c r="A340" s="119" t="s">
        <v>717</v>
      </c>
      <c r="B340" s="120" t="s">
        <v>110</v>
      </c>
      <c r="C340" s="121">
        <v>7.73</v>
      </c>
      <c r="D340" s="121">
        <v>96.38</v>
      </c>
      <c r="E340" s="122">
        <v>200</v>
      </c>
      <c r="F340" s="121">
        <v>48.19</v>
      </c>
      <c r="G340" s="123">
        <v>1440</v>
      </c>
      <c r="H340" s="123">
        <v>1</v>
      </c>
      <c r="I340" s="123">
        <v>180</v>
      </c>
      <c r="J340" s="121">
        <v>7</v>
      </c>
      <c r="K340" s="121">
        <v>773</v>
      </c>
      <c r="L340" s="120" t="s">
        <v>715</v>
      </c>
      <c r="M340" s="127" t="s">
        <v>718</v>
      </c>
    </row>
    <row r="341" spans="1:13" ht="15.6">
      <c r="A341" s="119" t="s">
        <v>717</v>
      </c>
      <c r="B341" s="120" t="s">
        <v>110</v>
      </c>
      <c r="C341" s="121">
        <v>7.73</v>
      </c>
      <c r="D341" s="121">
        <v>44.19</v>
      </c>
      <c r="E341" s="122">
        <v>200</v>
      </c>
      <c r="F341" s="121">
        <v>22.09</v>
      </c>
      <c r="G341" s="123">
        <v>1440</v>
      </c>
      <c r="H341" s="123">
        <v>1</v>
      </c>
      <c r="I341" s="123">
        <v>180</v>
      </c>
      <c r="J341" s="121">
        <v>3</v>
      </c>
      <c r="K341" s="121">
        <v>773</v>
      </c>
      <c r="L341" s="120" t="s">
        <v>715</v>
      </c>
      <c r="M341" s="127" t="s">
        <v>719</v>
      </c>
    </row>
    <row r="342" spans="1:13" ht="15.6">
      <c r="A342" s="119" t="s">
        <v>720</v>
      </c>
      <c r="B342" s="120" t="s">
        <v>110</v>
      </c>
      <c r="C342" s="121">
        <v>10.4</v>
      </c>
      <c r="D342" s="121">
        <v>149.52000000000001</v>
      </c>
      <c r="E342" s="122">
        <v>200</v>
      </c>
      <c r="F342" s="121">
        <v>74.848246399999994</v>
      </c>
      <c r="G342" s="123">
        <v>1440</v>
      </c>
      <c r="H342" s="123">
        <v>1</v>
      </c>
      <c r="I342" s="123">
        <v>180</v>
      </c>
      <c r="J342" s="121">
        <v>7</v>
      </c>
      <c r="K342" s="121">
        <v>873</v>
      </c>
      <c r="L342" s="120" t="s">
        <v>715</v>
      </c>
      <c r="M342" s="127" t="s">
        <v>721</v>
      </c>
    </row>
    <row r="343" spans="1:13" ht="15.6">
      <c r="A343" s="119" t="s">
        <v>717</v>
      </c>
      <c r="B343" s="120" t="s">
        <v>110</v>
      </c>
      <c r="C343" s="121">
        <v>7.73</v>
      </c>
      <c r="D343" s="121">
        <v>90.26</v>
      </c>
      <c r="E343" s="122">
        <v>200</v>
      </c>
      <c r="F343" s="121">
        <v>45.13</v>
      </c>
      <c r="G343" s="123">
        <v>1440</v>
      </c>
      <c r="H343" s="123">
        <v>1</v>
      </c>
      <c r="I343" s="123">
        <v>180</v>
      </c>
      <c r="J343" s="121">
        <v>4</v>
      </c>
      <c r="K343" s="121">
        <v>773</v>
      </c>
      <c r="L343" s="120" t="s">
        <v>715</v>
      </c>
      <c r="M343" s="127" t="s">
        <v>722</v>
      </c>
    </row>
    <row r="344" spans="1:13" ht="15.6">
      <c r="A344" s="119" t="s">
        <v>714</v>
      </c>
      <c r="B344" s="120" t="s">
        <v>110</v>
      </c>
      <c r="C344" s="121">
        <v>3.46</v>
      </c>
      <c r="D344" s="121">
        <v>74.72</v>
      </c>
      <c r="E344" s="122">
        <v>200</v>
      </c>
      <c r="F344" s="121">
        <v>37.348246400000001</v>
      </c>
      <c r="G344" s="123">
        <v>1440</v>
      </c>
      <c r="H344" s="123">
        <v>1</v>
      </c>
      <c r="I344" s="123">
        <v>180</v>
      </c>
      <c r="J344" s="121">
        <v>5</v>
      </c>
      <c r="K344" s="121">
        <v>573</v>
      </c>
      <c r="L344" s="120" t="s">
        <v>715</v>
      </c>
      <c r="M344" s="127" t="s">
        <v>723</v>
      </c>
    </row>
    <row r="345" spans="1:13" ht="15.75" customHeight="1">
      <c r="A345" s="119" t="s">
        <v>717</v>
      </c>
      <c r="B345" s="120" t="s">
        <v>110</v>
      </c>
      <c r="C345" s="121">
        <v>7.73</v>
      </c>
      <c r="D345" s="121">
        <v>97.96</v>
      </c>
      <c r="E345" s="122">
        <v>200</v>
      </c>
      <c r="F345" s="121">
        <v>48.98</v>
      </c>
      <c r="G345" s="123">
        <v>1440</v>
      </c>
      <c r="H345" s="123">
        <v>1</v>
      </c>
      <c r="I345" s="123">
        <v>180</v>
      </c>
      <c r="J345" s="121">
        <v>5</v>
      </c>
      <c r="K345" s="121">
        <v>773</v>
      </c>
      <c r="L345" s="120" t="s">
        <v>715</v>
      </c>
      <c r="M345" s="127" t="s">
        <v>724</v>
      </c>
    </row>
    <row r="346" spans="1:13" ht="15.6">
      <c r="A346" s="119" t="s">
        <v>714</v>
      </c>
      <c r="B346" s="120" t="s">
        <v>110</v>
      </c>
      <c r="C346" s="121">
        <v>3.46</v>
      </c>
      <c r="D346" s="121">
        <v>31.95</v>
      </c>
      <c r="E346" s="122">
        <v>200</v>
      </c>
      <c r="F346" s="121">
        <v>15.900404679999999</v>
      </c>
      <c r="G346" s="123">
        <v>1440</v>
      </c>
      <c r="H346" s="123">
        <v>1</v>
      </c>
      <c r="I346" s="123">
        <v>180</v>
      </c>
      <c r="J346" s="121">
        <v>3</v>
      </c>
      <c r="K346" s="121">
        <v>573</v>
      </c>
      <c r="L346" s="120" t="s">
        <v>715</v>
      </c>
      <c r="M346" s="127" t="s">
        <v>725</v>
      </c>
    </row>
    <row r="347" spans="1:13" ht="15.6">
      <c r="A347" s="119" t="s">
        <v>714</v>
      </c>
      <c r="B347" s="120" t="s">
        <v>110</v>
      </c>
      <c r="C347" s="121">
        <v>3.46</v>
      </c>
      <c r="D347" s="121">
        <v>81.760000000000005</v>
      </c>
      <c r="E347" s="122">
        <v>200</v>
      </c>
      <c r="F347" s="121">
        <v>40.647482009999997</v>
      </c>
      <c r="G347" s="123">
        <v>1440</v>
      </c>
      <c r="H347" s="123">
        <v>1</v>
      </c>
      <c r="I347" s="123">
        <v>180</v>
      </c>
      <c r="J347" s="121">
        <v>8</v>
      </c>
      <c r="K347" s="121">
        <v>573</v>
      </c>
      <c r="L347" s="120" t="s">
        <v>715</v>
      </c>
      <c r="M347" s="127" t="s">
        <v>726</v>
      </c>
    </row>
    <row r="348" spans="1:13" ht="15.6">
      <c r="A348" s="119" t="s">
        <v>727</v>
      </c>
      <c r="B348" s="120" t="s">
        <v>110</v>
      </c>
      <c r="C348" s="121">
        <v>5.81</v>
      </c>
      <c r="D348" s="121">
        <v>109.02</v>
      </c>
      <c r="E348" s="122">
        <v>200</v>
      </c>
      <c r="F348" s="121">
        <v>54.350269779999998</v>
      </c>
      <c r="G348" s="123">
        <v>1440</v>
      </c>
      <c r="H348" s="123">
        <v>1</v>
      </c>
      <c r="I348" s="123">
        <v>180</v>
      </c>
      <c r="J348" s="121">
        <v>8</v>
      </c>
      <c r="K348" s="121">
        <v>673</v>
      </c>
      <c r="L348" s="120" t="s">
        <v>715</v>
      </c>
      <c r="M348" s="127" t="s">
        <v>728</v>
      </c>
    </row>
    <row r="349" spans="1:13" ht="15.6">
      <c r="A349" s="119" t="s">
        <v>720</v>
      </c>
      <c r="B349" s="120" t="s">
        <v>110</v>
      </c>
      <c r="C349" s="121">
        <v>10.4</v>
      </c>
      <c r="D349" s="121">
        <v>84.95</v>
      </c>
      <c r="E349" s="122">
        <v>200</v>
      </c>
      <c r="F349" s="121">
        <v>42.552832729999999</v>
      </c>
      <c r="G349" s="123">
        <v>1440</v>
      </c>
      <c r="H349" s="123">
        <v>1</v>
      </c>
      <c r="I349" s="123">
        <v>180</v>
      </c>
      <c r="J349" s="121">
        <v>3</v>
      </c>
      <c r="K349" s="121">
        <v>873</v>
      </c>
      <c r="L349" s="120" t="s">
        <v>715</v>
      </c>
      <c r="M349" s="127" t="s">
        <v>729</v>
      </c>
    </row>
    <row r="350" spans="1:13" ht="15.6">
      <c r="A350" s="119" t="s">
        <v>727</v>
      </c>
      <c r="B350" s="120" t="s">
        <v>110</v>
      </c>
      <c r="C350" s="121">
        <v>5.81</v>
      </c>
      <c r="D350" s="121">
        <v>98.5</v>
      </c>
      <c r="E350" s="122">
        <v>200</v>
      </c>
      <c r="F350" s="121">
        <v>42.47</v>
      </c>
      <c r="G350" s="123">
        <v>1440</v>
      </c>
      <c r="H350" s="123">
        <v>1</v>
      </c>
      <c r="I350" s="123">
        <v>180</v>
      </c>
      <c r="J350" s="121">
        <v>5</v>
      </c>
      <c r="K350" s="121">
        <v>673</v>
      </c>
      <c r="L350" s="120" t="s">
        <v>715</v>
      </c>
      <c r="M350" s="127" t="s">
        <v>730</v>
      </c>
    </row>
    <row r="351" spans="1:13" ht="15.6">
      <c r="A351" s="119" t="s">
        <v>720</v>
      </c>
      <c r="B351" s="120" t="s">
        <v>110</v>
      </c>
      <c r="C351" s="121">
        <v>10.4</v>
      </c>
      <c r="D351" s="121">
        <v>146.44999999999999</v>
      </c>
      <c r="E351" s="122">
        <v>200</v>
      </c>
      <c r="F351" s="121">
        <v>72.847347119999995</v>
      </c>
      <c r="G351" s="123">
        <v>1440</v>
      </c>
      <c r="H351" s="123">
        <v>1</v>
      </c>
      <c r="I351" s="123">
        <v>180</v>
      </c>
      <c r="J351" s="121">
        <v>4</v>
      </c>
      <c r="K351" s="121">
        <v>873</v>
      </c>
      <c r="L351" s="120" t="s">
        <v>715</v>
      </c>
      <c r="M351" s="127" t="s">
        <v>731</v>
      </c>
    </row>
    <row r="352" spans="1:13" ht="15.6">
      <c r="A352" s="119" t="s">
        <v>714</v>
      </c>
      <c r="B352" s="120" t="s">
        <v>110</v>
      </c>
      <c r="C352" s="121">
        <v>3.46</v>
      </c>
      <c r="D352" s="121">
        <v>71.14</v>
      </c>
      <c r="E352" s="122">
        <v>200</v>
      </c>
      <c r="F352" s="121">
        <v>35.448516189999999</v>
      </c>
      <c r="G352" s="123">
        <v>1440</v>
      </c>
      <c r="H352" s="123">
        <v>1</v>
      </c>
      <c r="I352" s="123">
        <v>180</v>
      </c>
      <c r="J352" s="121">
        <v>7</v>
      </c>
      <c r="K352" s="121">
        <v>573</v>
      </c>
      <c r="L352" s="120" t="s">
        <v>715</v>
      </c>
      <c r="M352" s="127" t="s">
        <v>732</v>
      </c>
    </row>
    <row r="353" spans="1:13" ht="15.6">
      <c r="A353" s="119" t="s">
        <v>727</v>
      </c>
      <c r="B353" s="120" t="s">
        <v>110</v>
      </c>
      <c r="C353" s="121">
        <v>5.81</v>
      </c>
      <c r="D353" s="121">
        <v>98.08</v>
      </c>
      <c r="E353" s="122">
        <v>200</v>
      </c>
      <c r="F353" s="121">
        <v>48.802832729999999</v>
      </c>
      <c r="G353" s="123">
        <v>1440</v>
      </c>
      <c r="H353" s="123">
        <v>1</v>
      </c>
      <c r="I353" s="123">
        <v>180</v>
      </c>
      <c r="J353" s="121">
        <v>6</v>
      </c>
      <c r="K353" s="121">
        <v>673</v>
      </c>
      <c r="L353" s="120" t="s">
        <v>715</v>
      </c>
      <c r="M353" s="127" t="s">
        <v>733</v>
      </c>
    </row>
    <row r="354" spans="1:13" ht="15.6">
      <c r="A354" s="119" t="s">
        <v>727</v>
      </c>
      <c r="B354" s="120" t="s">
        <v>110</v>
      </c>
      <c r="C354" s="121">
        <v>5.81</v>
      </c>
      <c r="D354" s="121">
        <v>91.93</v>
      </c>
      <c r="E354" s="122">
        <v>200</v>
      </c>
      <c r="F354" s="121">
        <v>45.250674459999999</v>
      </c>
      <c r="G354" s="123">
        <v>1440</v>
      </c>
      <c r="H354" s="123">
        <v>1</v>
      </c>
      <c r="I354" s="123">
        <v>180</v>
      </c>
      <c r="J354" s="121">
        <v>4</v>
      </c>
      <c r="K354" s="121">
        <v>673</v>
      </c>
      <c r="L354" s="120" t="s">
        <v>715</v>
      </c>
      <c r="M354" s="127" t="s">
        <v>734</v>
      </c>
    </row>
    <row r="355" spans="1:13" ht="15.6">
      <c r="A355" s="119" t="s">
        <v>727</v>
      </c>
      <c r="B355" s="120" t="s">
        <v>110</v>
      </c>
      <c r="C355" s="121">
        <v>5.81</v>
      </c>
      <c r="D355" s="121">
        <v>97.29</v>
      </c>
      <c r="E355" s="122">
        <v>200</v>
      </c>
      <c r="F355" s="121">
        <v>48.347571940000002</v>
      </c>
      <c r="G355" s="123">
        <v>1440</v>
      </c>
      <c r="H355" s="123">
        <v>1</v>
      </c>
      <c r="I355" s="123">
        <v>180</v>
      </c>
      <c r="J355" s="121">
        <v>7</v>
      </c>
      <c r="K355" s="121">
        <v>673</v>
      </c>
      <c r="L355" s="120" t="s">
        <v>715</v>
      </c>
      <c r="M355" s="127" t="s">
        <v>735</v>
      </c>
    </row>
    <row r="356" spans="1:13" ht="15.6">
      <c r="A356" s="119" t="s">
        <v>717</v>
      </c>
      <c r="B356" s="120" t="s">
        <v>110</v>
      </c>
      <c r="C356" s="121">
        <v>7.73</v>
      </c>
      <c r="D356" s="121">
        <v>168.8</v>
      </c>
      <c r="E356" s="122">
        <v>200</v>
      </c>
      <c r="F356" s="121">
        <v>84.897706830000004</v>
      </c>
      <c r="G356" s="123">
        <v>1440</v>
      </c>
      <c r="H356" s="123">
        <v>1</v>
      </c>
      <c r="I356" s="123">
        <v>180</v>
      </c>
      <c r="J356" s="121">
        <v>6</v>
      </c>
      <c r="K356" s="121">
        <v>773</v>
      </c>
      <c r="L356" s="120" t="s">
        <v>715</v>
      </c>
      <c r="M356" s="127" t="s">
        <v>736</v>
      </c>
    </row>
    <row r="357" spans="1:13" ht="15.6">
      <c r="A357" s="119" t="s">
        <v>727</v>
      </c>
      <c r="B357" s="120" t="s">
        <v>110</v>
      </c>
      <c r="C357" s="121">
        <v>5.81</v>
      </c>
      <c r="D357" s="121">
        <v>44.81</v>
      </c>
      <c r="E357" s="122">
        <v>200</v>
      </c>
      <c r="F357" s="121">
        <v>22.397706830000001</v>
      </c>
      <c r="G357" s="123">
        <v>1440</v>
      </c>
      <c r="H357" s="123">
        <v>1</v>
      </c>
      <c r="I357" s="123">
        <v>180</v>
      </c>
      <c r="J357" s="121">
        <v>3</v>
      </c>
      <c r="K357" s="121">
        <v>673</v>
      </c>
      <c r="L357" s="120" t="s">
        <v>715</v>
      </c>
      <c r="M357" s="127" t="s">
        <v>737</v>
      </c>
    </row>
    <row r="358" spans="1:13" ht="15.6">
      <c r="A358" s="119" t="s">
        <v>720</v>
      </c>
      <c r="B358" s="120" t="s">
        <v>110</v>
      </c>
      <c r="C358" s="121">
        <v>10.4</v>
      </c>
      <c r="D358" s="121">
        <v>150.76</v>
      </c>
      <c r="E358" s="122">
        <v>200</v>
      </c>
      <c r="F358" s="121">
        <v>75.550809349999994</v>
      </c>
      <c r="G358" s="123">
        <v>1440</v>
      </c>
      <c r="H358" s="123">
        <v>1</v>
      </c>
      <c r="I358" s="123">
        <v>180</v>
      </c>
      <c r="J358" s="121">
        <v>6</v>
      </c>
      <c r="K358" s="121">
        <v>873</v>
      </c>
      <c r="L358" s="120" t="s">
        <v>715</v>
      </c>
      <c r="M358" s="127" t="s">
        <v>738</v>
      </c>
    </row>
    <row r="359" spans="1:13" ht="15.6">
      <c r="A359" s="119" t="s">
        <v>720</v>
      </c>
      <c r="B359" s="120" t="s">
        <v>110</v>
      </c>
      <c r="C359" s="121">
        <v>10.4</v>
      </c>
      <c r="D359" s="121">
        <v>153.38999999999999</v>
      </c>
      <c r="E359" s="122">
        <v>200</v>
      </c>
      <c r="F359" s="121">
        <v>76.899730219999995</v>
      </c>
      <c r="G359" s="123">
        <v>1440</v>
      </c>
      <c r="H359" s="123">
        <v>1</v>
      </c>
      <c r="I359" s="123">
        <v>180</v>
      </c>
      <c r="J359" s="121">
        <v>5</v>
      </c>
      <c r="K359" s="121">
        <v>873</v>
      </c>
      <c r="L359" s="120" t="s">
        <v>715</v>
      </c>
      <c r="M359" s="127" t="s">
        <v>739</v>
      </c>
    </row>
    <row r="360" spans="1:13" ht="15.6">
      <c r="A360" s="119" t="s">
        <v>717</v>
      </c>
      <c r="B360" s="120" t="s">
        <v>110</v>
      </c>
      <c r="C360" s="121">
        <v>7.73</v>
      </c>
      <c r="D360" s="121">
        <v>176.79</v>
      </c>
      <c r="E360" s="122">
        <v>200</v>
      </c>
      <c r="F360" s="121">
        <v>89.000674459999999</v>
      </c>
      <c r="G360" s="123">
        <v>1440</v>
      </c>
      <c r="H360" s="123">
        <v>1</v>
      </c>
      <c r="I360" s="123">
        <v>180</v>
      </c>
      <c r="J360" s="121">
        <v>8</v>
      </c>
      <c r="K360" s="121">
        <v>773</v>
      </c>
      <c r="L360" s="120" t="s">
        <v>715</v>
      </c>
      <c r="M360" s="127" t="s">
        <v>740</v>
      </c>
    </row>
    <row r="361" spans="1:13" ht="15.6">
      <c r="A361" s="119" t="s">
        <v>714</v>
      </c>
      <c r="B361" s="120" t="s">
        <v>110</v>
      </c>
      <c r="C361" s="121">
        <v>3.46</v>
      </c>
      <c r="D361" s="121">
        <v>64.31</v>
      </c>
      <c r="E361" s="122">
        <v>200</v>
      </c>
      <c r="F361" s="121">
        <v>32.45278777</v>
      </c>
      <c r="G361" s="123">
        <v>1440</v>
      </c>
      <c r="H361" s="123">
        <v>1</v>
      </c>
      <c r="I361" s="123">
        <v>180</v>
      </c>
      <c r="J361" s="121">
        <v>4</v>
      </c>
      <c r="K361" s="121">
        <v>573</v>
      </c>
      <c r="L361" s="120" t="s">
        <v>715</v>
      </c>
      <c r="M361" s="127" t="s">
        <v>741</v>
      </c>
    </row>
    <row r="362" spans="1:13" ht="15.6">
      <c r="A362" s="119" t="s">
        <v>720</v>
      </c>
      <c r="B362" s="120" t="s">
        <v>110</v>
      </c>
      <c r="C362" s="121">
        <v>10.4</v>
      </c>
      <c r="D362" s="121">
        <v>159.85</v>
      </c>
      <c r="E362" s="122">
        <v>200</v>
      </c>
      <c r="F362" s="121">
        <v>80.052832730000006</v>
      </c>
      <c r="G362" s="123">
        <v>1440</v>
      </c>
      <c r="H362" s="123">
        <v>1</v>
      </c>
      <c r="I362" s="123">
        <v>180</v>
      </c>
      <c r="J362" s="121">
        <v>8</v>
      </c>
      <c r="K362" s="121">
        <v>873</v>
      </c>
      <c r="L362" s="120" t="s">
        <v>715</v>
      </c>
      <c r="M362" s="127" t="s">
        <v>742</v>
      </c>
    </row>
    <row r="363" spans="1:13" ht="15.6">
      <c r="A363" s="119" t="s">
        <v>743</v>
      </c>
      <c r="B363" s="120" t="s">
        <v>110</v>
      </c>
      <c r="C363" s="121">
        <v>48.99</v>
      </c>
      <c r="D363" s="121">
        <v>5.84</v>
      </c>
      <c r="E363" s="122">
        <v>10.0036</v>
      </c>
      <c r="F363" s="121">
        <v>58.4</v>
      </c>
      <c r="G363" s="123">
        <v>1440</v>
      </c>
      <c r="H363" s="123">
        <v>1</v>
      </c>
      <c r="I363" s="123">
        <v>180</v>
      </c>
      <c r="J363" s="121">
        <v>7</v>
      </c>
      <c r="K363" s="121">
        <v>773</v>
      </c>
      <c r="L363" s="120" t="s">
        <v>744</v>
      </c>
      <c r="M363" s="128" t="s">
        <v>745</v>
      </c>
    </row>
    <row r="364" spans="1:13" ht="15.6">
      <c r="A364" s="119" t="s">
        <v>746</v>
      </c>
      <c r="B364" s="120" t="s">
        <v>110</v>
      </c>
      <c r="C364" s="121">
        <v>5.9009999999999998</v>
      </c>
      <c r="D364" s="121">
        <v>17.47</v>
      </c>
      <c r="E364" s="122">
        <v>49.995519999999999</v>
      </c>
      <c r="F364" s="121">
        <v>34.94</v>
      </c>
      <c r="G364" s="123">
        <v>1440</v>
      </c>
      <c r="H364" s="123">
        <v>1</v>
      </c>
      <c r="I364" s="123">
        <v>180</v>
      </c>
      <c r="J364" s="121">
        <v>7</v>
      </c>
      <c r="K364" s="121">
        <v>773</v>
      </c>
      <c r="L364" s="120" t="s">
        <v>744</v>
      </c>
      <c r="M364" s="128" t="s">
        <v>745</v>
      </c>
    </row>
    <row r="365" spans="1:13" ht="15.6">
      <c r="A365" s="119" t="s">
        <v>747</v>
      </c>
      <c r="B365" s="120" t="s">
        <v>110</v>
      </c>
      <c r="C365" s="121">
        <v>84.05</v>
      </c>
      <c r="D365" s="121">
        <v>14.8</v>
      </c>
      <c r="E365" s="122">
        <v>10.0036</v>
      </c>
      <c r="F365" s="121">
        <v>58.2</v>
      </c>
      <c r="G365" s="123">
        <v>1440</v>
      </c>
      <c r="H365" s="123">
        <v>1</v>
      </c>
      <c r="I365" s="123">
        <v>180</v>
      </c>
      <c r="J365" s="121">
        <v>7</v>
      </c>
      <c r="K365" s="121">
        <v>773</v>
      </c>
      <c r="L365" s="120" t="s">
        <v>744</v>
      </c>
      <c r="M365" s="128" t="s">
        <v>745</v>
      </c>
    </row>
    <row r="366" spans="1:13" ht="15.6">
      <c r="A366" s="119" t="s">
        <v>743</v>
      </c>
      <c r="B366" s="120" t="s">
        <v>110</v>
      </c>
      <c r="C366" s="121">
        <v>48.99</v>
      </c>
      <c r="D366" s="121">
        <v>17.170000000000002</v>
      </c>
      <c r="E366" s="122">
        <v>99.991039999999998</v>
      </c>
      <c r="F366" s="121">
        <v>17.170000000000002</v>
      </c>
      <c r="G366" s="123">
        <v>1440</v>
      </c>
      <c r="H366" s="123">
        <v>1</v>
      </c>
      <c r="I366" s="123">
        <v>180</v>
      </c>
      <c r="J366" s="121">
        <v>7</v>
      </c>
      <c r="K366" s="121">
        <v>773</v>
      </c>
      <c r="L366" s="120" t="s">
        <v>744</v>
      </c>
      <c r="M366" s="128" t="s">
        <v>745</v>
      </c>
    </row>
    <row r="367" spans="1:13" ht="15.6">
      <c r="A367" s="119" t="s">
        <v>746</v>
      </c>
      <c r="B367" s="120" t="s">
        <v>110</v>
      </c>
      <c r="C367" s="121">
        <v>5.9009999999999998</v>
      </c>
      <c r="D367" s="121">
        <v>29.35</v>
      </c>
      <c r="E367" s="122">
        <v>79.995080000000002</v>
      </c>
      <c r="F367" s="121">
        <v>36.68</v>
      </c>
      <c r="G367" s="123">
        <v>1440</v>
      </c>
      <c r="H367" s="123">
        <v>1</v>
      </c>
      <c r="I367" s="123">
        <v>180</v>
      </c>
      <c r="J367" s="121">
        <v>7</v>
      </c>
      <c r="K367" s="121">
        <v>773</v>
      </c>
      <c r="L367" s="120" t="s">
        <v>744</v>
      </c>
      <c r="M367" s="128" t="s">
        <v>745</v>
      </c>
    </row>
    <row r="368" spans="1:13" ht="15.6">
      <c r="A368" s="119" t="s">
        <v>748</v>
      </c>
      <c r="B368" s="120" t="s">
        <v>110</v>
      </c>
      <c r="C368" s="121">
        <v>21.9</v>
      </c>
      <c r="D368" s="121">
        <v>43.23</v>
      </c>
      <c r="E368" s="122">
        <v>79.995080000000002</v>
      </c>
      <c r="F368" s="121">
        <v>54.03</v>
      </c>
      <c r="G368" s="123">
        <v>1440</v>
      </c>
      <c r="H368" s="123">
        <v>1</v>
      </c>
      <c r="I368" s="123">
        <v>180</v>
      </c>
      <c r="J368" s="121">
        <v>7</v>
      </c>
      <c r="K368" s="121">
        <v>773</v>
      </c>
      <c r="L368" s="120" t="s">
        <v>744</v>
      </c>
      <c r="M368" s="128" t="s">
        <v>745</v>
      </c>
    </row>
    <row r="369" spans="1:13" ht="15.6">
      <c r="A369" s="119" t="s">
        <v>747</v>
      </c>
      <c r="B369" s="120" t="s">
        <v>110</v>
      </c>
      <c r="C369" s="121">
        <v>84.05</v>
      </c>
      <c r="D369" s="121">
        <v>23.47</v>
      </c>
      <c r="E369" s="122">
        <v>99.991039999999998</v>
      </c>
      <c r="F369" s="121">
        <v>23.47</v>
      </c>
      <c r="G369" s="123">
        <v>1440</v>
      </c>
      <c r="H369" s="123">
        <v>1</v>
      </c>
      <c r="I369" s="123">
        <v>180</v>
      </c>
      <c r="J369" s="121">
        <v>7</v>
      </c>
      <c r="K369" s="121">
        <v>773</v>
      </c>
      <c r="L369" s="120" t="s">
        <v>744</v>
      </c>
      <c r="M369" s="128" t="s">
        <v>745</v>
      </c>
    </row>
    <row r="370" spans="1:13" ht="15.6">
      <c r="A370" s="119" t="s">
        <v>748</v>
      </c>
      <c r="B370" s="120" t="s">
        <v>110</v>
      </c>
      <c r="C370" s="121">
        <v>21.9</v>
      </c>
      <c r="D370" s="121">
        <v>46.64</v>
      </c>
      <c r="E370" s="122">
        <v>99.991039999999998</v>
      </c>
      <c r="F370" s="121">
        <v>46.64</v>
      </c>
      <c r="G370" s="123">
        <v>1440</v>
      </c>
      <c r="H370" s="123">
        <v>1</v>
      </c>
      <c r="I370" s="123">
        <v>180</v>
      </c>
      <c r="J370" s="121">
        <v>7</v>
      </c>
      <c r="K370" s="121">
        <v>773</v>
      </c>
      <c r="L370" s="120" t="s">
        <v>744</v>
      </c>
      <c r="M370" s="128" t="s">
        <v>745</v>
      </c>
    </row>
    <row r="371" spans="1:13" ht="15.6">
      <c r="A371" s="119" t="s">
        <v>743</v>
      </c>
      <c r="B371" s="120" t="s">
        <v>110</v>
      </c>
      <c r="C371" s="121">
        <v>48.99</v>
      </c>
      <c r="D371" s="121">
        <v>11.53</v>
      </c>
      <c r="E371" s="122">
        <v>49.995519999999999</v>
      </c>
      <c r="F371" s="121">
        <v>23.06</v>
      </c>
      <c r="G371" s="123">
        <v>1440</v>
      </c>
      <c r="H371" s="123">
        <v>1</v>
      </c>
      <c r="I371" s="123">
        <v>180</v>
      </c>
      <c r="J371" s="121">
        <v>7</v>
      </c>
      <c r="K371" s="121">
        <v>773</v>
      </c>
      <c r="L371" s="120" t="s">
        <v>744</v>
      </c>
      <c r="M371" s="128" t="s">
        <v>745</v>
      </c>
    </row>
    <row r="372" spans="1:13" ht="15.6">
      <c r="A372" s="119" t="s">
        <v>747</v>
      </c>
      <c r="B372" s="120" t="s">
        <v>110</v>
      </c>
      <c r="C372" s="121">
        <v>84.05</v>
      </c>
      <c r="D372" s="121">
        <v>8.94</v>
      </c>
      <c r="E372" s="122">
        <v>19.99596</v>
      </c>
      <c r="F372" s="121">
        <v>44.7</v>
      </c>
      <c r="G372" s="123">
        <v>1440</v>
      </c>
      <c r="H372" s="123">
        <v>1</v>
      </c>
      <c r="I372" s="123">
        <v>180</v>
      </c>
      <c r="J372" s="121">
        <v>7</v>
      </c>
      <c r="K372" s="121">
        <v>773</v>
      </c>
      <c r="L372" s="120" t="s">
        <v>744</v>
      </c>
      <c r="M372" s="128" t="s">
        <v>745</v>
      </c>
    </row>
    <row r="373" spans="1:13" ht="15.6">
      <c r="A373" s="119" t="s">
        <v>747</v>
      </c>
      <c r="B373" s="120" t="s">
        <v>110</v>
      </c>
      <c r="C373" s="121">
        <v>84.05</v>
      </c>
      <c r="D373" s="121">
        <v>18.7</v>
      </c>
      <c r="E373" s="122">
        <v>79.995080000000002</v>
      </c>
      <c r="F373" s="121">
        <v>23.37</v>
      </c>
      <c r="G373" s="123">
        <v>1440</v>
      </c>
      <c r="H373" s="123">
        <v>1</v>
      </c>
      <c r="I373" s="123">
        <v>180</v>
      </c>
      <c r="J373" s="121">
        <v>7</v>
      </c>
      <c r="K373" s="121">
        <v>773</v>
      </c>
      <c r="L373" s="120" t="s">
        <v>744</v>
      </c>
      <c r="M373" s="128" t="s">
        <v>745</v>
      </c>
    </row>
    <row r="374" spans="1:13" ht="15.6">
      <c r="A374" s="119" t="s">
        <v>746</v>
      </c>
      <c r="B374" s="120" t="s">
        <v>110</v>
      </c>
      <c r="C374" s="121">
        <v>5.9009999999999998</v>
      </c>
      <c r="D374" s="121">
        <v>34.94</v>
      </c>
      <c r="E374" s="122">
        <v>99.991039999999998</v>
      </c>
      <c r="F374" s="121">
        <v>34.94</v>
      </c>
      <c r="G374" s="123">
        <v>1440</v>
      </c>
      <c r="H374" s="123">
        <v>1</v>
      </c>
      <c r="I374" s="123">
        <v>180</v>
      </c>
      <c r="J374" s="121">
        <v>7</v>
      </c>
      <c r="K374" s="121">
        <v>773</v>
      </c>
      <c r="L374" s="120" t="s">
        <v>744</v>
      </c>
      <c r="M374" s="128" t="s">
        <v>745</v>
      </c>
    </row>
    <row r="375" spans="1:13" ht="15.6">
      <c r="A375" s="119" t="s">
        <v>748</v>
      </c>
      <c r="B375" s="120" t="s">
        <v>110</v>
      </c>
      <c r="C375" s="121">
        <v>21.9</v>
      </c>
      <c r="D375" s="121">
        <v>39</v>
      </c>
      <c r="E375" s="122">
        <v>49.995519999999999</v>
      </c>
      <c r="F375" s="121">
        <v>78</v>
      </c>
      <c r="G375" s="123">
        <v>1440</v>
      </c>
      <c r="H375" s="123">
        <v>1</v>
      </c>
      <c r="I375" s="123">
        <v>180</v>
      </c>
      <c r="J375" s="121">
        <v>7</v>
      </c>
      <c r="K375" s="121">
        <v>773</v>
      </c>
      <c r="L375" s="120" t="s">
        <v>744</v>
      </c>
      <c r="M375" s="128" t="s">
        <v>745</v>
      </c>
    </row>
    <row r="376" spans="1:13" ht="15.6">
      <c r="A376" s="119" t="s">
        <v>743</v>
      </c>
      <c r="B376" s="120" t="s">
        <v>110</v>
      </c>
      <c r="C376" s="121">
        <v>48.99</v>
      </c>
      <c r="D376" s="121">
        <v>15.76</v>
      </c>
      <c r="E376" s="122">
        <v>79.995080000000002</v>
      </c>
      <c r="F376" s="121">
        <v>19.7</v>
      </c>
      <c r="G376" s="123">
        <v>1440</v>
      </c>
      <c r="H376" s="123">
        <v>1</v>
      </c>
      <c r="I376" s="123">
        <v>180</v>
      </c>
      <c r="J376" s="121">
        <v>7</v>
      </c>
      <c r="K376" s="121">
        <v>773</v>
      </c>
      <c r="L376" s="120" t="s">
        <v>744</v>
      </c>
      <c r="M376" s="128" t="s">
        <v>745</v>
      </c>
    </row>
    <row r="377" spans="1:13" ht="15.6">
      <c r="A377" s="119" t="s">
        <v>749</v>
      </c>
      <c r="B377" s="120" t="s">
        <v>110</v>
      </c>
      <c r="C377" s="121">
        <v>12.78</v>
      </c>
      <c r="D377" s="121">
        <v>28.58</v>
      </c>
      <c r="E377" s="122">
        <v>49.995519999999999</v>
      </c>
      <c r="F377" s="121">
        <v>57.16</v>
      </c>
      <c r="G377" s="123">
        <v>720</v>
      </c>
      <c r="H377" s="123">
        <v>1</v>
      </c>
      <c r="I377" s="123">
        <v>150</v>
      </c>
      <c r="J377" s="121">
        <v>6</v>
      </c>
      <c r="K377" s="121">
        <v>573</v>
      </c>
      <c r="L377" s="120" t="s">
        <v>750</v>
      </c>
      <c r="M377" s="129" t="s">
        <v>751</v>
      </c>
    </row>
    <row r="378" spans="1:13" ht="15.6">
      <c r="A378" s="119" t="s">
        <v>752</v>
      </c>
      <c r="B378" s="120" t="s">
        <v>110</v>
      </c>
      <c r="C378" s="121">
        <v>24.61</v>
      </c>
      <c r="D378" s="121">
        <v>89.38</v>
      </c>
      <c r="E378" s="122">
        <v>100.00228</v>
      </c>
      <c r="F378" s="121">
        <v>89.38</v>
      </c>
      <c r="G378" s="123">
        <v>720</v>
      </c>
      <c r="H378" s="123">
        <v>1</v>
      </c>
      <c r="I378" s="123">
        <v>150</v>
      </c>
      <c r="J378" s="121">
        <v>6</v>
      </c>
      <c r="K378" s="121">
        <v>773</v>
      </c>
      <c r="L378" s="120" t="s">
        <v>750</v>
      </c>
      <c r="M378" s="130" t="s">
        <v>753</v>
      </c>
    </row>
    <row r="379" spans="1:13" ht="15.6">
      <c r="A379" s="119" t="s">
        <v>749</v>
      </c>
      <c r="B379" s="120" t="s">
        <v>110</v>
      </c>
      <c r="C379" s="121">
        <v>12.78</v>
      </c>
      <c r="D379" s="121">
        <v>75.760000000000005</v>
      </c>
      <c r="E379" s="122">
        <v>149.99780000000001</v>
      </c>
      <c r="F379" s="121">
        <v>51.84</v>
      </c>
      <c r="G379" s="123">
        <v>720</v>
      </c>
      <c r="H379" s="123">
        <v>1</v>
      </c>
      <c r="I379" s="123">
        <v>150</v>
      </c>
      <c r="J379" s="121">
        <v>6</v>
      </c>
      <c r="K379" s="121">
        <v>573</v>
      </c>
      <c r="L379" s="120" t="s">
        <v>750</v>
      </c>
      <c r="M379" s="130" t="s">
        <v>754</v>
      </c>
    </row>
    <row r="380" spans="1:13" ht="15.6">
      <c r="A380" s="119" t="s">
        <v>752</v>
      </c>
      <c r="B380" s="120" t="s">
        <v>110</v>
      </c>
      <c r="C380" s="121">
        <v>24.61</v>
      </c>
      <c r="D380" s="121">
        <v>86.45</v>
      </c>
      <c r="E380" s="122">
        <v>100.00228</v>
      </c>
      <c r="F380" s="121">
        <v>86.45</v>
      </c>
      <c r="G380" s="123">
        <v>720</v>
      </c>
      <c r="H380" s="123">
        <v>1</v>
      </c>
      <c r="I380" s="123">
        <v>150</v>
      </c>
      <c r="J380" s="121">
        <v>8</v>
      </c>
      <c r="K380" s="121">
        <v>773</v>
      </c>
      <c r="L380" s="120" t="s">
        <v>750</v>
      </c>
      <c r="M380" s="130" t="s">
        <v>755</v>
      </c>
    </row>
    <row r="381" spans="1:13" ht="15.6">
      <c r="A381" s="119" t="s">
        <v>749</v>
      </c>
      <c r="B381" s="120" t="s">
        <v>110</v>
      </c>
      <c r="C381" s="121">
        <v>12.78</v>
      </c>
      <c r="D381" s="121">
        <v>55.71</v>
      </c>
      <c r="E381" s="122">
        <v>100.00228</v>
      </c>
      <c r="F381" s="121">
        <v>55.71</v>
      </c>
      <c r="G381" s="123">
        <v>720</v>
      </c>
      <c r="H381" s="123">
        <v>1</v>
      </c>
      <c r="I381" s="123">
        <v>150</v>
      </c>
      <c r="J381" s="121">
        <v>4</v>
      </c>
      <c r="K381" s="121">
        <v>573</v>
      </c>
      <c r="L381" s="120" t="s">
        <v>750</v>
      </c>
      <c r="M381" s="130" t="s">
        <v>756</v>
      </c>
    </row>
    <row r="382" spans="1:13" ht="15.6">
      <c r="A382" s="119" t="s">
        <v>757</v>
      </c>
      <c r="B382" s="120" t="s">
        <v>110</v>
      </c>
      <c r="C382" s="121">
        <v>41.12</v>
      </c>
      <c r="D382" s="121">
        <v>41.75</v>
      </c>
      <c r="E382" s="122">
        <v>49.995519999999999</v>
      </c>
      <c r="F382" s="121">
        <v>83.5</v>
      </c>
      <c r="G382" s="123">
        <v>720</v>
      </c>
      <c r="H382" s="123">
        <v>1</v>
      </c>
      <c r="I382" s="123">
        <v>150</v>
      </c>
      <c r="J382" s="121">
        <v>6</v>
      </c>
      <c r="K382" s="121">
        <v>973</v>
      </c>
      <c r="L382" s="120" t="s">
        <v>750</v>
      </c>
      <c r="M382" s="130" t="s">
        <v>758</v>
      </c>
    </row>
    <row r="383" spans="1:13" ht="15.6">
      <c r="A383" s="119" t="s">
        <v>749</v>
      </c>
      <c r="B383" s="120" t="s">
        <v>110</v>
      </c>
      <c r="C383" s="121">
        <v>12.78</v>
      </c>
      <c r="D383" s="121">
        <v>51.59</v>
      </c>
      <c r="E383" s="122">
        <v>100.00228</v>
      </c>
      <c r="F383" s="121">
        <v>51.59</v>
      </c>
      <c r="G383" s="123">
        <v>720</v>
      </c>
      <c r="H383" s="123">
        <v>1</v>
      </c>
      <c r="I383" s="123">
        <v>150</v>
      </c>
      <c r="J383" s="121">
        <v>5</v>
      </c>
      <c r="K383" s="121">
        <v>573</v>
      </c>
      <c r="L383" s="120" t="s">
        <v>750</v>
      </c>
      <c r="M383" s="130" t="s">
        <v>759</v>
      </c>
    </row>
    <row r="384" spans="1:13" ht="15.6">
      <c r="A384" s="119" t="s">
        <v>749</v>
      </c>
      <c r="B384" s="120" t="s">
        <v>110</v>
      </c>
      <c r="C384" s="121">
        <v>12.78</v>
      </c>
      <c r="D384" s="121">
        <v>12.79</v>
      </c>
      <c r="E384" s="122">
        <v>100.00228</v>
      </c>
      <c r="F384" s="121">
        <v>14.37563224</v>
      </c>
      <c r="G384" s="123">
        <v>720</v>
      </c>
      <c r="H384" s="123">
        <v>1</v>
      </c>
      <c r="I384" s="123">
        <v>150</v>
      </c>
      <c r="J384" s="121">
        <v>2</v>
      </c>
      <c r="K384" s="121">
        <v>573</v>
      </c>
      <c r="L384" s="120" t="s">
        <v>750</v>
      </c>
      <c r="M384" s="130" t="s">
        <v>760</v>
      </c>
    </row>
    <row r="385" spans="1:13" ht="15.6">
      <c r="A385" s="119" t="s">
        <v>757</v>
      </c>
      <c r="B385" s="120" t="s">
        <v>110</v>
      </c>
      <c r="C385" s="121">
        <v>41.12</v>
      </c>
      <c r="D385" s="121">
        <v>8.35</v>
      </c>
      <c r="E385" s="122">
        <v>10.0036</v>
      </c>
      <c r="F385" s="121">
        <v>83.469899999999996</v>
      </c>
      <c r="G385" s="123">
        <v>720</v>
      </c>
      <c r="H385" s="123">
        <v>1</v>
      </c>
      <c r="I385" s="123">
        <v>150</v>
      </c>
      <c r="J385" s="121">
        <v>6</v>
      </c>
      <c r="K385" s="121">
        <v>973</v>
      </c>
      <c r="L385" s="120" t="s">
        <v>750</v>
      </c>
      <c r="M385" s="130" t="s">
        <v>761</v>
      </c>
    </row>
    <row r="386" spans="1:13" ht="15.6">
      <c r="A386" s="119" t="s">
        <v>752</v>
      </c>
      <c r="B386" s="120" t="s">
        <v>110</v>
      </c>
      <c r="C386" s="121">
        <v>24.61</v>
      </c>
      <c r="D386" s="121">
        <v>21.08</v>
      </c>
      <c r="E386" s="122">
        <v>29.999559999999999</v>
      </c>
      <c r="F386" s="121">
        <v>70.27</v>
      </c>
      <c r="G386" s="123">
        <v>720</v>
      </c>
      <c r="H386" s="123">
        <v>1</v>
      </c>
      <c r="I386" s="123">
        <v>150</v>
      </c>
      <c r="J386" s="121">
        <v>6</v>
      </c>
      <c r="K386" s="121">
        <v>773</v>
      </c>
      <c r="L386" s="120" t="s">
        <v>750</v>
      </c>
      <c r="M386" s="130" t="s">
        <v>762</v>
      </c>
    </row>
    <row r="387" spans="1:13" ht="15.6">
      <c r="A387" s="119" t="s">
        <v>757</v>
      </c>
      <c r="B387" s="120" t="s">
        <v>110</v>
      </c>
      <c r="C387" s="121">
        <v>41.12</v>
      </c>
      <c r="D387" s="121">
        <v>75.760000000000005</v>
      </c>
      <c r="E387" s="122">
        <v>100.00228</v>
      </c>
      <c r="F387" s="121">
        <v>75.760000000000005</v>
      </c>
      <c r="G387" s="123">
        <v>720</v>
      </c>
      <c r="H387" s="123">
        <v>1</v>
      </c>
      <c r="I387" s="123">
        <v>150</v>
      </c>
      <c r="J387" s="121">
        <v>6</v>
      </c>
      <c r="K387" s="121">
        <v>973</v>
      </c>
      <c r="L387" s="120" t="s">
        <v>750</v>
      </c>
      <c r="M387" s="130" t="s">
        <v>763</v>
      </c>
    </row>
    <row r="388" spans="1:13" ht="15.6">
      <c r="A388" s="119" t="s">
        <v>749</v>
      </c>
      <c r="B388" s="120" t="s">
        <v>110</v>
      </c>
      <c r="C388" s="121">
        <v>12.78</v>
      </c>
      <c r="D388" s="121">
        <v>44.97</v>
      </c>
      <c r="E388" s="122">
        <v>100.00228</v>
      </c>
      <c r="F388" s="121">
        <v>44.97</v>
      </c>
      <c r="G388" s="123">
        <v>720</v>
      </c>
      <c r="H388" s="123">
        <v>1</v>
      </c>
      <c r="I388" s="123">
        <v>150</v>
      </c>
      <c r="J388" s="121">
        <v>3</v>
      </c>
      <c r="K388" s="121">
        <v>573</v>
      </c>
      <c r="L388" s="120" t="s">
        <v>750</v>
      </c>
      <c r="M388" s="130" t="s">
        <v>764</v>
      </c>
    </row>
    <row r="389" spans="1:13" ht="15.6">
      <c r="A389" s="119" t="s">
        <v>757</v>
      </c>
      <c r="B389" s="120" t="s">
        <v>110</v>
      </c>
      <c r="C389" s="121">
        <v>41.12</v>
      </c>
      <c r="D389" s="121">
        <v>92.46</v>
      </c>
      <c r="E389" s="122">
        <v>179.99735999999999</v>
      </c>
      <c r="F389" s="121">
        <v>51.37</v>
      </c>
      <c r="G389" s="123">
        <v>720</v>
      </c>
      <c r="H389" s="123">
        <v>1</v>
      </c>
      <c r="I389" s="123">
        <v>150</v>
      </c>
      <c r="J389" s="121">
        <v>6</v>
      </c>
      <c r="K389" s="121">
        <v>973</v>
      </c>
      <c r="L389" s="120" t="s">
        <v>750</v>
      </c>
      <c r="M389" s="130" t="s">
        <v>765</v>
      </c>
    </row>
    <row r="390" spans="1:13" ht="15.6">
      <c r="A390" s="119" t="s">
        <v>757</v>
      </c>
      <c r="B390" s="120" t="s">
        <v>110</v>
      </c>
      <c r="C390" s="121">
        <v>41.12</v>
      </c>
      <c r="D390" s="121">
        <v>62.73</v>
      </c>
      <c r="E390" s="122">
        <v>79.995080000000002</v>
      </c>
      <c r="F390" s="121">
        <v>78.41</v>
      </c>
      <c r="G390" s="123">
        <v>720</v>
      </c>
      <c r="H390" s="123">
        <v>1</v>
      </c>
      <c r="I390" s="123">
        <v>150</v>
      </c>
      <c r="J390" s="121">
        <v>6</v>
      </c>
      <c r="K390" s="121">
        <v>973</v>
      </c>
      <c r="L390" s="120" t="s">
        <v>750</v>
      </c>
      <c r="M390" s="130" t="s">
        <v>766</v>
      </c>
    </row>
    <row r="391" spans="1:13" ht="15.6">
      <c r="A391" s="119" t="s">
        <v>752</v>
      </c>
      <c r="B391" s="120" t="s">
        <v>110</v>
      </c>
      <c r="C391" s="121">
        <v>24.61</v>
      </c>
      <c r="D391" s="121">
        <v>64.349999999999994</v>
      </c>
      <c r="E391" s="122">
        <v>100.00228</v>
      </c>
      <c r="F391" s="121">
        <v>64.349999999999994</v>
      </c>
      <c r="G391" s="123">
        <v>720</v>
      </c>
      <c r="H391" s="123">
        <v>1</v>
      </c>
      <c r="I391" s="123">
        <v>150</v>
      </c>
      <c r="J391" s="121">
        <v>4</v>
      </c>
      <c r="K391" s="121">
        <v>773</v>
      </c>
      <c r="L391" s="120" t="s">
        <v>750</v>
      </c>
      <c r="M391" s="130" t="s">
        <v>767</v>
      </c>
    </row>
    <row r="392" spans="1:13" ht="15.6">
      <c r="A392" s="119" t="s">
        <v>757</v>
      </c>
      <c r="B392" s="120" t="s">
        <v>110</v>
      </c>
      <c r="C392" s="121">
        <v>41.12</v>
      </c>
      <c r="D392" s="121">
        <v>77.73</v>
      </c>
      <c r="E392" s="122">
        <v>100.00228</v>
      </c>
      <c r="F392" s="121">
        <v>77.73</v>
      </c>
      <c r="G392" s="123">
        <v>720</v>
      </c>
      <c r="H392" s="123">
        <v>1</v>
      </c>
      <c r="I392" s="123">
        <v>150</v>
      </c>
      <c r="J392" s="121">
        <v>8</v>
      </c>
      <c r="K392" s="121">
        <v>973</v>
      </c>
      <c r="L392" s="120" t="s">
        <v>750</v>
      </c>
      <c r="M392" s="130" t="s">
        <v>768</v>
      </c>
    </row>
    <row r="393" spans="1:13" ht="15.6">
      <c r="A393" s="119" t="s">
        <v>752</v>
      </c>
      <c r="B393" s="120" t="s">
        <v>110</v>
      </c>
      <c r="C393" s="121">
        <v>24.61</v>
      </c>
      <c r="D393" s="121">
        <v>113.24</v>
      </c>
      <c r="E393" s="122">
        <v>179.99735999999999</v>
      </c>
      <c r="F393" s="121">
        <v>62.91</v>
      </c>
      <c r="G393" s="123">
        <v>720</v>
      </c>
      <c r="H393" s="123">
        <v>1</v>
      </c>
      <c r="I393" s="123">
        <v>150</v>
      </c>
      <c r="J393" s="121">
        <v>6</v>
      </c>
      <c r="K393" s="121">
        <v>773</v>
      </c>
      <c r="L393" s="120" t="s">
        <v>750</v>
      </c>
      <c r="M393" s="130" t="s">
        <v>769</v>
      </c>
    </row>
    <row r="394" spans="1:13" ht="15.6">
      <c r="A394" s="119" t="s">
        <v>752</v>
      </c>
      <c r="B394" s="120" t="s">
        <v>110</v>
      </c>
      <c r="C394" s="121">
        <v>24.61</v>
      </c>
      <c r="D394" s="121">
        <v>13.96</v>
      </c>
      <c r="E394" s="122">
        <v>100.00228</v>
      </c>
      <c r="F394" s="121">
        <v>13.96</v>
      </c>
      <c r="G394" s="123">
        <v>720</v>
      </c>
      <c r="H394" s="123">
        <v>1</v>
      </c>
      <c r="I394" s="123">
        <v>150</v>
      </c>
      <c r="J394" s="121">
        <v>2</v>
      </c>
      <c r="K394" s="121">
        <v>773</v>
      </c>
      <c r="L394" s="120" t="s">
        <v>750</v>
      </c>
      <c r="M394" s="130" t="s">
        <v>770</v>
      </c>
    </row>
    <row r="395" spans="1:13" ht="15.6">
      <c r="A395" s="119" t="s">
        <v>749</v>
      </c>
      <c r="B395" s="120" t="s">
        <v>110</v>
      </c>
      <c r="C395" s="121">
        <v>12.78</v>
      </c>
      <c r="D395" s="121">
        <v>77.53</v>
      </c>
      <c r="E395" s="122">
        <v>200.00456</v>
      </c>
      <c r="F395" s="121">
        <v>38.76</v>
      </c>
      <c r="G395" s="123">
        <v>720</v>
      </c>
      <c r="H395" s="123">
        <v>1</v>
      </c>
      <c r="I395" s="123">
        <v>150</v>
      </c>
      <c r="J395" s="121">
        <v>6</v>
      </c>
      <c r="K395" s="121">
        <v>573</v>
      </c>
      <c r="L395" s="120" t="s">
        <v>750</v>
      </c>
      <c r="M395" s="130" t="s">
        <v>771</v>
      </c>
    </row>
    <row r="396" spans="1:13" ht="15.6">
      <c r="A396" s="119" t="s">
        <v>749</v>
      </c>
      <c r="B396" s="120" t="s">
        <v>110</v>
      </c>
      <c r="C396" s="121">
        <v>12.78</v>
      </c>
      <c r="D396" s="121">
        <v>15.78</v>
      </c>
      <c r="E396" s="122">
        <v>29.999559999999999</v>
      </c>
      <c r="F396" s="121">
        <v>52.6</v>
      </c>
      <c r="G396" s="123">
        <v>720</v>
      </c>
      <c r="H396" s="123">
        <v>1</v>
      </c>
      <c r="I396" s="123">
        <v>150</v>
      </c>
      <c r="J396" s="121">
        <v>6</v>
      </c>
      <c r="K396" s="121">
        <v>573</v>
      </c>
      <c r="L396" s="120" t="s">
        <v>750</v>
      </c>
      <c r="M396" s="130" t="s">
        <v>772</v>
      </c>
    </row>
    <row r="397" spans="1:13" ht="15.6">
      <c r="A397" s="119" t="s">
        <v>752</v>
      </c>
      <c r="B397" s="120" t="s">
        <v>110</v>
      </c>
      <c r="C397" s="121">
        <v>24.61</v>
      </c>
      <c r="D397" s="121">
        <v>134.69999999999999</v>
      </c>
      <c r="E397" s="122">
        <v>200.00456</v>
      </c>
      <c r="F397" s="121">
        <v>67.349999999999994</v>
      </c>
      <c r="G397" s="123">
        <v>720</v>
      </c>
      <c r="H397" s="123">
        <v>1</v>
      </c>
      <c r="I397" s="123">
        <v>150</v>
      </c>
      <c r="J397" s="121">
        <v>6</v>
      </c>
      <c r="K397" s="121">
        <v>773</v>
      </c>
      <c r="L397" s="120" t="s">
        <v>750</v>
      </c>
      <c r="M397" s="130" t="s">
        <v>773</v>
      </c>
    </row>
    <row r="398" spans="1:13" ht="15.6">
      <c r="A398" s="119" t="s">
        <v>752</v>
      </c>
      <c r="B398" s="120" t="s">
        <v>110</v>
      </c>
      <c r="C398" s="121">
        <v>24.61</v>
      </c>
      <c r="D398" s="121">
        <v>67.09</v>
      </c>
      <c r="E398" s="122">
        <v>100.00228</v>
      </c>
      <c r="F398" s="121">
        <v>67.09</v>
      </c>
      <c r="G398" s="123">
        <v>720</v>
      </c>
      <c r="H398" s="123">
        <v>1</v>
      </c>
      <c r="I398" s="123">
        <v>150</v>
      </c>
      <c r="J398" s="121">
        <v>5</v>
      </c>
      <c r="K398" s="121">
        <v>773</v>
      </c>
      <c r="L398" s="120" t="s">
        <v>750</v>
      </c>
      <c r="M398" s="130" t="s">
        <v>774</v>
      </c>
    </row>
    <row r="399" spans="1:13" ht="15.6">
      <c r="A399" s="119" t="s">
        <v>757</v>
      </c>
      <c r="B399" s="120" t="s">
        <v>110</v>
      </c>
      <c r="C399" s="121">
        <v>41.12</v>
      </c>
      <c r="D399" s="121">
        <v>59.43</v>
      </c>
      <c r="E399" s="122">
        <v>100.00228</v>
      </c>
      <c r="F399" s="121">
        <v>59.43</v>
      </c>
      <c r="G399" s="123">
        <v>720</v>
      </c>
      <c r="H399" s="123">
        <v>1</v>
      </c>
      <c r="I399" s="123">
        <v>150</v>
      </c>
      <c r="J399" s="121">
        <v>3</v>
      </c>
      <c r="K399" s="121">
        <v>973</v>
      </c>
      <c r="L399" s="120" t="s">
        <v>750</v>
      </c>
      <c r="M399" s="130" t="s">
        <v>775</v>
      </c>
    </row>
    <row r="400" spans="1:13" ht="15.6">
      <c r="A400" s="119" t="s">
        <v>757</v>
      </c>
      <c r="B400" s="120" t="s">
        <v>110</v>
      </c>
      <c r="C400" s="121">
        <v>41.12</v>
      </c>
      <c r="D400" s="121">
        <v>77.709999999999994</v>
      </c>
      <c r="E400" s="122">
        <v>100.00228</v>
      </c>
      <c r="F400" s="121">
        <v>77.709999999999994</v>
      </c>
      <c r="G400" s="123">
        <v>720</v>
      </c>
      <c r="H400" s="123">
        <v>1</v>
      </c>
      <c r="I400" s="123">
        <v>150</v>
      </c>
      <c r="J400" s="121">
        <v>7</v>
      </c>
      <c r="K400" s="121">
        <v>973</v>
      </c>
      <c r="L400" s="120" t="s">
        <v>750</v>
      </c>
      <c r="M400" s="130" t="s">
        <v>776</v>
      </c>
    </row>
    <row r="401" spans="1:13" ht="15.6">
      <c r="A401" s="119" t="s">
        <v>752</v>
      </c>
      <c r="B401" s="120" t="s">
        <v>110</v>
      </c>
      <c r="C401" s="121">
        <v>24.61</v>
      </c>
      <c r="D401" s="121">
        <v>9.25</v>
      </c>
      <c r="E401" s="122">
        <v>10.0036</v>
      </c>
      <c r="F401" s="121">
        <v>92.5</v>
      </c>
      <c r="G401" s="123">
        <v>720</v>
      </c>
      <c r="H401" s="123">
        <v>1</v>
      </c>
      <c r="I401" s="123">
        <v>150</v>
      </c>
      <c r="J401" s="121">
        <v>6</v>
      </c>
      <c r="K401" s="121">
        <v>773</v>
      </c>
      <c r="L401" s="120" t="s">
        <v>750</v>
      </c>
      <c r="M401" s="130" t="s">
        <v>777</v>
      </c>
    </row>
    <row r="402" spans="1:13" ht="15.6">
      <c r="A402" s="119" t="s">
        <v>749</v>
      </c>
      <c r="B402" s="120" t="s">
        <v>110</v>
      </c>
      <c r="C402" s="121">
        <v>12.78</v>
      </c>
      <c r="D402" s="121">
        <v>11.95</v>
      </c>
      <c r="E402" s="122">
        <v>19.99596</v>
      </c>
      <c r="F402" s="121">
        <v>59.75</v>
      </c>
      <c r="G402" s="123">
        <v>720</v>
      </c>
      <c r="H402" s="123">
        <v>1</v>
      </c>
      <c r="I402" s="123">
        <v>150</v>
      </c>
      <c r="J402" s="121">
        <v>6</v>
      </c>
      <c r="K402" s="121">
        <v>573</v>
      </c>
      <c r="L402" s="120" t="s">
        <v>750</v>
      </c>
      <c r="M402" s="130" t="s">
        <v>778</v>
      </c>
    </row>
    <row r="403" spans="1:13" ht="15.6">
      <c r="A403" s="119" t="s">
        <v>757</v>
      </c>
      <c r="B403" s="120" t="s">
        <v>110</v>
      </c>
      <c r="C403" s="121">
        <v>41.12</v>
      </c>
      <c r="D403" s="121">
        <v>82.129000000000005</v>
      </c>
      <c r="E403" s="122">
        <v>119.99824</v>
      </c>
      <c r="F403" s="121">
        <v>68.44</v>
      </c>
      <c r="G403" s="123">
        <v>720</v>
      </c>
      <c r="H403" s="123">
        <v>1</v>
      </c>
      <c r="I403" s="123">
        <v>150</v>
      </c>
      <c r="J403" s="121">
        <v>6</v>
      </c>
      <c r="K403" s="121">
        <v>973</v>
      </c>
      <c r="L403" s="120" t="s">
        <v>750</v>
      </c>
      <c r="M403" s="130" t="s">
        <v>779</v>
      </c>
    </row>
    <row r="404" spans="1:13" ht="15.6">
      <c r="A404" s="119" t="s">
        <v>757</v>
      </c>
      <c r="B404" s="120" t="s">
        <v>110</v>
      </c>
      <c r="C404" s="121">
        <v>41.12</v>
      </c>
      <c r="D404" s="121">
        <v>74.680000000000007</v>
      </c>
      <c r="E404" s="122">
        <v>100.00228</v>
      </c>
      <c r="F404" s="121">
        <v>74.680000000000007</v>
      </c>
      <c r="G404" s="123">
        <v>720</v>
      </c>
      <c r="H404" s="123">
        <v>1</v>
      </c>
      <c r="I404" s="123">
        <v>150</v>
      </c>
      <c r="J404" s="121">
        <v>4</v>
      </c>
      <c r="K404" s="121">
        <v>973</v>
      </c>
      <c r="L404" s="120" t="s">
        <v>750</v>
      </c>
      <c r="M404" s="130" t="s">
        <v>780</v>
      </c>
    </row>
    <row r="405" spans="1:13" ht="15.6">
      <c r="A405" s="119" t="s">
        <v>749</v>
      </c>
      <c r="B405" s="120" t="s">
        <v>110</v>
      </c>
      <c r="C405" s="121">
        <v>12.78</v>
      </c>
      <c r="D405" s="121">
        <v>77.87</v>
      </c>
      <c r="E405" s="122">
        <v>179.99735999999999</v>
      </c>
      <c r="F405" s="121">
        <v>43.26</v>
      </c>
      <c r="G405" s="123">
        <v>720</v>
      </c>
      <c r="H405" s="123">
        <v>1</v>
      </c>
      <c r="I405" s="123">
        <v>150</v>
      </c>
      <c r="J405" s="121">
        <v>6</v>
      </c>
      <c r="K405" s="121">
        <v>573</v>
      </c>
      <c r="L405" s="120" t="s">
        <v>750</v>
      </c>
      <c r="M405" s="130" t="s">
        <v>781</v>
      </c>
    </row>
    <row r="406" spans="1:13" ht="15.6">
      <c r="A406" s="119" t="s">
        <v>752</v>
      </c>
      <c r="B406" s="120" t="s">
        <v>110</v>
      </c>
      <c r="C406" s="121">
        <v>24.61</v>
      </c>
      <c r="D406" s="121">
        <v>15.346</v>
      </c>
      <c r="E406" s="122">
        <v>19.995899999999999</v>
      </c>
      <c r="F406" s="121">
        <v>76.73</v>
      </c>
      <c r="G406" s="123">
        <v>720</v>
      </c>
      <c r="H406" s="123">
        <v>1</v>
      </c>
      <c r="I406" s="123">
        <v>150</v>
      </c>
      <c r="J406" s="121">
        <v>6</v>
      </c>
      <c r="K406" s="121">
        <v>773</v>
      </c>
      <c r="L406" s="120" t="s">
        <v>750</v>
      </c>
      <c r="M406" s="130" t="s">
        <v>782</v>
      </c>
    </row>
    <row r="407" spans="1:13" ht="15.6">
      <c r="A407" s="119" t="s">
        <v>757</v>
      </c>
      <c r="B407" s="120" t="s">
        <v>110</v>
      </c>
      <c r="C407" s="121">
        <v>41.12</v>
      </c>
      <c r="D407" s="121">
        <v>93.28</v>
      </c>
      <c r="E407" s="122">
        <v>200.00456</v>
      </c>
      <c r="F407" s="121">
        <v>46.64</v>
      </c>
      <c r="G407" s="123">
        <v>720</v>
      </c>
      <c r="H407" s="123">
        <v>1</v>
      </c>
      <c r="I407" s="123">
        <v>150</v>
      </c>
      <c r="J407" s="121">
        <v>6</v>
      </c>
      <c r="K407" s="121">
        <v>973</v>
      </c>
      <c r="L407" s="120" t="s">
        <v>750</v>
      </c>
      <c r="M407" s="130" t="s">
        <v>783</v>
      </c>
    </row>
    <row r="408" spans="1:13" ht="15.6">
      <c r="A408" s="119" t="s">
        <v>752</v>
      </c>
      <c r="B408" s="120" t="s">
        <v>110</v>
      </c>
      <c r="C408" s="121">
        <v>24.61</v>
      </c>
      <c r="D408" s="121">
        <v>67.13</v>
      </c>
      <c r="E408" s="122">
        <v>100.00228</v>
      </c>
      <c r="F408" s="121">
        <v>67.13</v>
      </c>
      <c r="G408" s="123">
        <v>720</v>
      </c>
      <c r="H408" s="123">
        <v>1</v>
      </c>
      <c r="I408" s="123">
        <v>150</v>
      </c>
      <c r="J408" s="121">
        <v>7</v>
      </c>
      <c r="K408" s="121">
        <v>773</v>
      </c>
      <c r="L408" s="120" t="s">
        <v>750</v>
      </c>
      <c r="M408" s="130" t="s">
        <v>784</v>
      </c>
    </row>
    <row r="409" spans="1:13" ht="15.6">
      <c r="A409" s="119" t="s">
        <v>752</v>
      </c>
      <c r="B409" s="120" t="s">
        <v>110</v>
      </c>
      <c r="C409" s="121">
        <v>24.61</v>
      </c>
      <c r="D409" s="121">
        <v>108.09</v>
      </c>
      <c r="E409" s="122">
        <v>149.99780000000001</v>
      </c>
      <c r="F409" s="121">
        <v>72</v>
      </c>
      <c r="G409" s="123">
        <v>720</v>
      </c>
      <c r="H409" s="123">
        <v>1</v>
      </c>
      <c r="I409" s="123">
        <v>150</v>
      </c>
      <c r="J409" s="121">
        <v>6</v>
      </c>
      <c r="K409" s="121">
        <v>773</v>
      </c>
      <c r="L409" s="120" t="s">
        <v>750</v>
      </c>
      <c r="M409" s="130" t="s">
        <v>785</v>
      </c>
    </row>
    <row r="410" spans="1:13" ht="15.6">
      <c r="A410" s="119" t="s">
        <v>749</v>
      </c>
      <c r="B410" s="120" t="s">
        <v>110</v>
      </c>
      <c r="C410" s="121">
        <v>12.78</v>
      </c>
      <c r="D410" s="121">
        <v>64.73</v>
      </c>
      <c r="E410" s="122">
        <v>119.99824</v>
      </c>
      <c r="F410" s="121">
        <v>53.33</v>
      </c>
      <c r="G410" s="123">
        <v>720</v>
      </c>
      <c r="H410" s="123">
        <v>1</v>
      </c>
      <c r="I410" s="123">
        <v>150</v>
      </c>
      <c r="J410" s="121">
        <v>6</v>
      </c>
      <c r="K410" s="121">
        <v>573</v>
      </c>
      <c r="L410" s="120" t="s">
        <v>750</v>
      </c>
      <c r="M410" s="130" t="s">
        <v>786</v>
      </c>
    </row>
    <row r="411" spans="1:13" ht="15.6">
      <c r="A411" s="119" t="s">
        <v>749</v>
      </c>
      <c r="B411" s="120" t="s">
        <v>110</v>
      </c>
      <c r="C411" s="121">
        <v>12.78</v>
      </c>
      <c r="D411" s="121">
        <v>55.91</v>
      </c>
      <c r="E411" s="122">
        <v>100.00228</v>
      </c>
      <c r="F411" s="121">
        <v>55.91</v>
      </c>
      <c r="G411" s="123">
        <v>720</v>
      </c>
      <c r="H411" s="123">
        <v>1</v>
      </c>
      <c r="I411" s="123">
        <v>150</v>
      </c>
      <c r="J411" s="121">
        <v>8</v>
      </c>
      <c r="K411" s="121">
        <v>573</v>
      </c>
      <c r="L411" s="120" t="s">
        <v>750</v>
      </c>
      <c r="M411" s="130" t="s">
        <v>787</v>
      </c>
    </row>
    <row r="412" spans="1:13" ht="15.6">
      <c r="A412" s="119" t="s">
        <v>752</v>
      </c>
      <c r="B412" s="120" t="s">
        <v>110</v>
      </c>
      <c r="C412" s="121">
        <v>24.61</v>
      </c>
      <c r="D412" s="121">
        <v>94.34</v>
      </c>
      <c r="E412" s="122">
        <v>119.99824</v>
      </c>
      <c r="F412" s="121">
        <v>78.33</v>
      </c>
      <c r="G412" s="123">
        <v>720</v>
      </c>
      <c r="H412" s="123">
        <v>1</v>
      </c>
      <c r="I412" s="123">
        <v>150</v>
      </c>
      <c r="J412" s="121">
        <v>6</v>
      </c>
      <c r="K412" s="121">
        <v>773</v>
      </c>
      <c r="L412" s="120" t="s">
        <v>750</v>
      </c>
      <c r="M412" s="130" t="s">
        <v>788</v>
      </c>
    </row>
    <row r="413" spans="1:13" ht="15.6">
      <c r="A413" s="119" t="s">
        <v>757</v>
      </c>
      <c r="B413" s="120" t="s">
        <v>110</v>
      </c>
      <c r="C413" s="121">
        <v>41.12</v>
      </c>
      <c r="D413" s="121">
        <v>22.114999999999998</v>
      </c>
      <c r="E413" s="122">
        <v>29.999559999999999</v>
      </c>
      <c r="F413" s="121">
        <v>73.33</v>
      </c>
      <c r="G413" s="123">
        <v>720</v>
      </c>
      <c r="H413" s="123">
        <v>1</v>
      </c>
      <c r="I413" s="123">
        <v>150</v>
      </c>
      <c r="J413" s="121">
        <v>6</v>
      </c>
      <c r="K413" s="121">
        <v>973</v>
      </c>
      <c r="L413" s="120" t="s">
        <v>750</v>
      </c>
      <c r="M413" s="130" t="s">
        <v>789</v>
      </c>
    </row>
    <row r="414" spans="1:13" ht="15.6">
      <c r="A414" s="119" t="s">
        <v>752</v>
      </c>
      <c r="B414" s="120" t="s">
        <v>110</v>
      </c>
      <c r="C414" s="121">
        <v>24.61</v>
      </c>
      <c r="D414" s="121">
        <v>66.81</v>
      </c>
      <c r="E414" s="122">
        <v>79.995080000000002</v>
      </c>
      <c r="F414" s="121">
        <v>83.51</v>
      </c>
      <c r="G414" s="123">
        <v>720</v>
      </c>
      <c r="H414" s="123">
        <v>1</v>
      </c>
      <c r="I414" s="123">
        <v>150</v>
      </c>
      <c r="J414" s="121">
        <v>6</v>
      </c>
      <c r="K414" s="121">
        <v>773</v>
      </c>
      <c r="L414" s="120" t="s">
        <v>750</v>
      </c>
      <c r="M414" s="130" t="s">
        <v>790</v>
      </c>
    </row>
    <row r="415" spans="1:13" ht="15.6">
      <c r="A415" s="119" t="s">
        <v>757</v>
      </c>
      <c r="B415" s="120" t="s">
        <v>110</v>
      </c>
      <c r="C415" s="121">
        <v>41.12</v>
      </c>
      <c r="D415" s="121">
        <v>10.99</v>
      </c>
      <c r="E415" s="122">
        <v>100.00228</v>
      </c>
      <c r="F415" s="121">
        <v>11</v>
      </c>
      <c r="G415" s="123">
        <v>720</v>
      </c>
      <c r="H415" s="123">
        <v>1</v>
      </c>
      <c r="I415" s="123">
        <v>150</v>
      </c>
      <c r="J415" s="121">
        <v>2</v>
      </c>
      <c r="K415" s="121">
        <v>973</v>
      </c>
      <c r="L415" s="120" t="s">
        <v>750</v>
      </c>
      <c r="M415" s="130" t="s">
        <v>791</v>
      </c>
    </row>
    <row r="416" spans="1:13" ht="15.6">
      <c r="A416" s="119" t="s">
        <v>752</v>
      </c>
      <c r="B416" s="120" t="s">
        <v>110</v>
      </c>
      <c r="C416" s="121">
        <v>24.61</v>
      </c>
      <c r="D416" s="121">
        <v>53.73</v>
      </c>
      <c r="E416" s="122">
        <v>100.00228</v>
      </c>
      <c r="F416" s="121">
        <v>53.73</v>
      </c>
      <c r="G416" s="123">
        <v>720</v>
      </c>
      <c r="H416" s="123">
        <v>1</v>
      </c>
      <c r="I416" s="123">
        <v>150</v>
      </c>
      <c r="J416" s="121">
        <v>3</v>
      </c>
      <c r="K416" s="121">
        <v>773</v>
      </c>
      <c r="L416" s="120" t="s">
        <v>750</v>
      </c>
      <c r="M416" s="130" t="s">
        <v>792</v>
      </c>
    </row>
    <row r="417" spans="1:13" ht="18.75" customHeight="1">
      <c r="A417" s="119" t="s">
        <v>749</v>
      </c>
      <c r="B417" s="120" t="s">
        <v>110</v>
      </c>
      <c r="C417" s="121">
        <v>12.78</v>
      </c>
      <c r="D417" s="121">
        <v>56.9</v>
      </c>
      <c r="E417" s="122">
        <v>100.00228</v>
      </c>
      <c r="F417" s="121">
        <v>56.9</v>
      </c>
      <c r="G417" s="123">
        <v>720</v>
      </c>
      <c r="H417" s="123">
        <v>1</v>
      </c>
      <c r="I417" s="123">
        <v>150</v>
      </c>
      <c r="J417" s="121">
        <v>6</v>
      </c>
      <c r="K417" s="121">
        <v>573</v>
      </c>
      <c r="L417" s="120" t="s">
        <v>750</v>
      </c>
      <c r="M417" s="130" t="s">
        <v>793</v>
      </c>
    </row>
    <row r="418" spans="1:13" ht="36" customHeight="1">
      <c r="A418" s="119" t="s">
        <v>752</v>
      </c>
      <c r="B418" s="120" t="s">
        <v>110</v>
      </c>
      <c r="C418" s="121">
        <v>24.61</v>
      </c>
      <c r="D418" s="121">
        <v>43.113</v>
      </c>
      <c r="E418" s="122">
        <v>49.995519999999999</v>
      </c>
      <c r="F418" s="121">
        <v>86.22</v>
      </c>
      <c r="G418" s="123">
        <v>720</v>
      </c>
      <c r="H418" s="123">
        <v>1</v>
      </c>
      <c r="I418" s="123">
        <v>150</v>
      </c>
      <c r="J418" s="121">
        <v>6</v>
      </c>
      <c r="K418" s="121">
        <v>773</v>
      </c>
      <c r="L418" s="120" t="s">
        <v>750</v>
      </c>
      <c r="M418" s="130" t="s">
        <v>794</v>
      </c>
    </row>
    <row r="419" spans="1:13" ht="18.75" customHeight="1">
      <c r="A419" s="119" t="s">
        <v>757</v>
      </c>
      <c r="B419" s="120" t="s">
        <v>110</v>
      </c>
      <c r="C419" s="121">
        <v>41.12</v>
      </c>
      <c r="D419" s="121">
        <v>88.43</v>
      </c>
      <c r="E419" s="122">
        <v>149.99780000000001</v>
      </c>
      <c r="F419" s="121">
        <v>58.95</v>
      </c>
      <c r="G419" s="123">
        <v>720</v>
      </c>
      <c r="H419" s="123">
        <v>1</v>
      </c>
      <c r="I419" s="123">
        <v>150</v>
      </c>
      <c r="J419" s="121">
        <v>6</v>
      </c>
      <c r="K419" s="121">
        <v>973</v>
      </c>
      <c r="L419" s="120" t="s">
        <v>750</v>
      </c>
      <c r="M419" s="130" t="s">
        <v>795</v>
      </c>
    </row>
    <row r="420" spans="1:13" ht="15.6">
      <c r="A420" s="119" t="s">
        <v>757</v>
      </c>
      <c r="B420" s="120" t="s">
        <v>110</v>
      </c>
      <c r="C420" s="121">
        <v>41.12</v>
      </c>
      <c r="D420" s="121">
        <v>13.08</v>
      </c>
      <c r="E420" s="122">
        <v>19.99596</v>
      </c>
      <c r="F420" s="121">
        <v>65.400000000000006</v>
      </c>
      <c r="G420" s="123">
        <v>720</v>
      </c>
      <c r="H420" s="123">
        <v>1</v>
      </c>
      <c r="I420" s="123">
        <v>150</v>
      </c>
      <c r="J420" s="121">
        <v>6</v>
      </c>
      <c r="K420" s="121">
        <v>973</v>
      </c>
      <c r="L420" s="120" t="s">
        <v>750</v>
      </c>
      <c r="M420" s="130" t="s">
        <v>796</v>
      </c>
    </row>
    <row r="421" spans="1:13" ht="15.6">
      <c r="A421" s="119" t="s">
        <v>749</v>
      </c>
      <c r="B421" s="120" t="s">
        <v>110</v>
      </c>
      <c r="C421" s="121">
        <v>12.78</v>
      </c>
      <c r="D421" s="121">
        <v>53.83</v>
      </c>
      <c r="E421" s="122">
        <v>100.00228</v>
      </c>
      <c r="F421" s="121">
        <v>53.83</v>
      </c>
      <c r="G421" s="123">
        <v>720</v>
      </c>
      <c r="H421" s="123">
        <v>1</v>
      </c>
      <c r="I421" s="123">
        <v>150</v>
      </c>
      <c r="J421" s="121">
        <v>7</v>
      </c>
      <c r="K421" s="121">
        <v>573</v>
      </c>
      <c r="L421" s="120" t="s">
        <v>750</v>
      </c>
      <c r="M421" s="130" t="s">
        <v>797</v>
      </c>
    </row>
    <row r="422" spans="1:13" ht="15.6">
      <c r="A422" s="119" t="s">
        <v>757</v>
      </c>
      <c r="B422" s="120" t="s">
        <v>110</v>
      </c>
      <c r="C422" s="121">
        <v>41.12</v>
      </c>
      <c r="D422" s="121">
        <v>76</v>
      </c>
      <c r="E422" s="122">
        <v>100.00228</v>
      </c>
      <c r="F422" s="121">
        <v>76</v>
      </c>
      <c r="G422" s="123">
        <v>720</v>
      </c>
      <c r="H422" s="123">
        <v>1</v>
      </c>
      <c r="I422" s="123">
        <v>150</v>
      </c>
      <c r="J422" s="121">
        <v>5</v>
      </c>
      <c r="K422" s="121">
        <v>973</v>
      </c>
      <c r="L422" s="120" t="s">
        <v>750</v>
      </c>
      <c r="M422" s="130" t="s">
        <v>798</v>
      </c>
    </row>
    <row r="423" spans="1:13" ht="15.6">
      <c r="A423" s="119" t="s">
        <v>749</v>
      </c>
      <c r="B423" s="120" t="s">
        <v>110</v>
      </c>
      <c r="C423" s="121">
        <v>12.78</v>
      </c>
      <c r="D423" s="121">
        <v>7.44</v>
      </c>
      <c r="E423" s="122">
        <v>10.0036</v>
      </c>
      <c r="F423" s="121">
        <v>74.37</v>
      </c>
      <c r="G423" s="123">
        <v>720</v>
      </c>
      <c r="H423" s="123">
        <v>1</v>
      </c>
      <c r="I423" s="123">
        <v>150</v>
      </c>
      <c r="J423" s="121">
        <v>6</v>
      </c>
      <c r="K423" s="121">
        <v>573</v>
      </c>
      <c r="L423" s="120" t="s">
        <v>750</v>
      </c>
      <c r="M423" s="130" t="s">
        <v>799</v>
      </c>
    </row>
    <row r="424" spans="1:13" ht="15.6">
      <c r="A424" s="119" t="s">
        <v>749</v>
      </c>
      <c r="B424" s="120" t="s">
        <v>110</v>
      </c>
      <c r="C424" s="121">
        <v>12.78</v>
      </c>
      <c r="D424" s="121">
        <v>45.79</v>
      </c>
      <c r="E424" s="122">
        <v>79.995080000000002</v>
      </c>
      <c r="F424" s="121">
        <v>57.23</v>
      </c>
      <c r="G424" s="123">
        <v>720</v>
      </c>
      <c r="H424" s="123">
        <v>1</v>
      </c>
      <c r="I424" s="123">
        <v>150</v>
      </c>
      <c r="J424" s="121">
        <v>6</v>
      </c>
      <c r="K424" s="121">
        <v>573</v>
      </c>
      <c r="L424" s="120" t="s">
        <v>750</v>
      </c>
      <c r="M424" s="130" t="s">
        <v>800</v>
      </c>
    </row>
    <row r="425" spans="1:13" ht="15.6">
      <c r="A425" s="119" t="s">
        <v>801</v>
      </c>
      <c r="B425" s="120" t="s">
        <v>110</v>
      </c>
      <c r="C425" s="121">
        <v>443</v>
      </c>
      <c r="D425" s="121">
        <v>0.43</v>
      </c>
      <c r="E425" s="122">
        <v>10.0036</v>
      </c>
      <c r="F425" s="121">
        <v>43.82</v>
      </c>
      <c r="G425" s="123">
        <v>2880</v>
      </c>
      <c r="H425" s="123">
        <v>10</v>
      </c>
      <c r="I425" s="123">
        <v>250</v>
      </c>
      <c r="J425" s="121">
        <v>8</v>
      </c>
      <c r="K425" s="121">
        <v>873</v>
      </c>
      <c r="L425" s="120" t="s">
        <v>802</v>
      </c>
      <c r="M425" s="131" t="s">
        <v>803</v>
      </c>
    </row>
    <row r="426" spans="1:13" ht="15.6">
      <c r="A426" s="119" t="s">
        <v>804</v>
      </c>
      <c r="B426" s="120" t="s">
        <v>110</v>
      </c>
      <c r="C426" s="121">
        <v>72</v>
      </c>
      <c r="D426" s="121">
        <v>5.16</v>
      </c>
      <c r="E426" s="122">
        <v>28.57208</v>
      </c>
      <c r="F426" s="121">
        <v>99.29</v>
      </c>
      <c r="G426" s="123">
        <v>1440</v>
      </c>
      <c r="H426" s="123">
        <v>5.5</v>
      </c>
      <c r="I426" s="123">
        <v>250</v>
      </c>
      <c r="J426" s="121">
        <v>5</v>
      </c>
      <c r="K426" s="121">
        <v>873</v>
      </c>
      <c r="L426" s="120" t="s">
        <v>802</v>
      </c>
      <c r="M426" s="131" t="s">
        <v>803</v>
      </c>
    </row>
    <row r="427" spans="1:13" ht="15.6">
      <c r="A427" s="119" t="s">
        <v>805</v>
      </c>
      <c r="B427" s="120" t="s">
        <v>110</v>
      </c>
      <c r="C427" s="121">
        <v>77</v>
      </c>
      <c r="D427" s="121">
        <v>2.79</v>
      </c>
      <c r="E427" s="122">
        <v>15.387560000000001</v>
      </c>
      <c r="F427" s="121">
        <v>100</v>
      </c>
      <c r="G427" s="123">
        <v>1440</v>
      </c>
      <c r="H427" s="123">
        <v>5.5</v>
      </c>
      <c r="I427" s="123">
        <v>250</v>
      </c>
      <c r="J427" s="121">
        <v>5</v>
      </c>
      <c r="K427" s="121">
        <v>873</v>
      </c>
      <c r="L427" s="120" t="s">
        <v>802</v>
      </c>
      <c r="M427" s="131" t="s">
        <v>803</v>
      </c>
    </row>
    <row r="428" spans="1:13" ht="15.6">
      <c r="A428" s="119" t="s">
        <v>806</v>
      </c>
      <c r="B428" s="120" t="s">
        <v>110</v>
      </c>
      <c r="C428" s="121">
        <v>364</v>
      </c>
      <c r="D428" s="121">
        <v>3.58</v>
      </c>
      <c r="E428" s="122">
        <v>19.99596</v>
      </c>
      <c r="F428" s="121">
        <v>98.59</v>
      </c>
      <c r="G428" s="123">
        <v>1440</v>
      </c>
      <c r="H428" s="123">
        <v>5.5</v>
      </c>
      <c r="I428" s="123">
        <v>250</v>
      </c>
      <c r="J428" s="121">
        <v>5</v>
      </c>
      <c r="K428" s="121">
        <v>873</v>
      </c>
      <c r="L428" s="120" t="s">
        <v>802</v>
      </c>
      <c r="M428" s="131" t="s">
        <v>803</v>
      </c>
    </row>
    <row r="429" spans="1:13" ht="15.6">
      <c r="A429" s="119" t="s">
        <v>807</v>
      </c>
      <c r="B429" s="120" t="s">
        <v>110</v>
      </c>
      <c r="C429" s="121">
        <v>465</v>
      </c>
      <c r="D429" s="121">
        <v>0.93</v>
      </c>
      <c r="E429" s="122">
        <v>10.0036</v>
      </c>
      <c r="F429" s="121">
        <v>55.95</v>
      </c>
      <c r="G429" s="123">
        <v>1920</v>
      </c>
      <c r="H429" s="123">
        <v>6</v>
      </c>
      <c r="I429" s="123">
        <v>250</v>
      </c>
      <c r="J429" s="121">
        <v>6.5</v>
      </c>
      <c r="K429" s="121">
        <v>873</v>
      </c>
      <c r="L429" s="120" t="s">
        <v>802</v>
      </c>
      <c r="M429" s="131" t="s">
        <v>803</v>
      </c>
    </row>
    <row r="430" spans="1:13" ht="15.6">
      <c r="A430" s="119" t="s">
        <v>808</v>
      </c>
      <c r="B430" s="120" t="s">
        <v>258</v>
      </c>
      <c r="C430" s="121">
        <v>20.100000000000001</v>
      </c>
      <c r="D430" s="121">
        <v>0.129</v>
      </c>
      <c r="E430" s="122">
        <v>58.69</v>
      </c>
      <c r="F430" s="121">
        <v>12.9</v>
      </c>
      <c r="G430" s="123">
        <v>1440</v>
      </c>
      <c r="H430" s="123">
        <v>5</v>
      </c>
      <c r="I430" s="123">
        <v>200</v>
      </c>
      <c r="J430" s="121">
        <v>7</v>
      </c>
      <c r="K430" s="121">
        <v>823</v>
      </c>
      <c r="L430" s="120" t="s">
        <v>809</v>
      </c>
      <c r="M430" s="132" t="s">
        <v>810</v>
      </c>
    </row>
    <row r="431" spans="1:13" ht="15.6">
      <c r="A431" s="119" t="s">
        <v>811</v>
      </c>
      <c r="B431" s="120" t="s">
        <v>258</v>
      </c>
      <c r="C431" s="121">
        <v>23.2</v>
      </c>
      <c r="D431" s="121">
        <v>0.33119999999999999</v>
      </c>
      <c r="E431" s="122">
        <v>19.559999999999999</v>
      </c>
      <c r="F431" s="121">
        <v>99.36</v>
      </c>
      <c r="G431" s="123">
        <v>1440</v>
      </c>
      <c r="H431" s="123">
        <v>5</v>
      </c>
      <c r="I431" s="123">
        <v>200</v>
      </c>
      <c r="J431" s="121">
        <v>5</v>
      </c>
      <c r="K431" s="121">
        <v>973</v>
      </c>
      <c r="L431" s="120" t="s">
        <v>809</v>
      </c>
      <c r="M431" s="132" t="s">
        <v>810</v>
      </c>
    </row>
    <row r="432" spans="1:13" ht="15.6">
      <c r="A432" s="119" t="s">
        <v>808</v>
      </c>
      <c r="B432" s="120" t="s">
        <v>258</v>
      </c>
      <c r="C432" s="121">
        <v>20.100000000000001</v>
      </c>
      <c r="D432" s="121">
        <v>0.1275</v>
      </c>
      <c r="E432" s="122">
        <v>58.69</v>
      </c>
      <c r="F432" s="121">
        <v>12.75</v>
      </c>
      <c r="G432" s="123">
        <v>1440</v>
      </c>
      <c r="H432" s="123">
        <v>5</v>
      </c>
      <c r="I432" s="123">
        <v>200</v>
      </c>
      <c r="J432" s="121">
        <v>6</v>
      </c>
      <c r="K432" s="121">
        <v>823</v>
      </c>
      <c r="L432" s="120" t="s">
        <v>809</v>
      </c>
      <c r="M432" s="132" t="s">
        <v>810</v>
      </c>
    </row>
    <row r="433" spans="1:13" ht="15.6">
      <c r="A433" s="119" t="s">
        <v>812</v>
      </c>
      <c r="B433" s="120" t="s">
        <v>258</v>
      </c>
      <c r="C433" s="121">
        <v>26.4</v>
      </c>
      <c r="D433" s="121">
        <v>4.8500000000000001E-2</v>
      </c>
      <c r="E433" s="122">
        <v>58.69</v>
      </c>
      <c r="F433" s="121">
        <v>4.8499999999999996</v>
      </c>
      <c r="G433" s="123">
        <v>1440</v>
      </c>
      <c r="H433" s="123">
        <v>5</v>
      </c>
      <c r="I433" s="123">
        <v>200</v>
      </c>
      <c r="J433" s="121">
        <v>2</v>
      </c>
      <c r="K433" s="121">
        <v>823</v>
      </c>
      <c r="L433" s="120" t="s">
        <v>809</v>
      </c>
      <c r="M433" s="132" t="s">
        <v>810</v>
      </c>
    </row>
    <row r="434" spans="1:13" ht="15.6">
      <c r="A434" s="119" t="s">
        <v>811</v>
      </c>
      <c r="B434" s="120" t="s">
        <v>258</v>
      </c>
      <c r="C434" s="121">
        <v>23.2</v>
      </c>
      <c r="D434" s="121">
        <v>0.2492</v>
      </c>
      <c r="E434" s="122">
        <v>14.67</v>
      </c>
      <c r="F434" s="121">
        <v>99.68</v>
      </c>
      <c r="G434" s="123">
        <v>1440</v>
      </c>
      <c r="H434" s="123">
        <v>5</v>
      </c>
      <c r="I434" s="123">
        <v>200</v>
      </c>
      <c r="J434" s="121">
        <v>5</v>
      </c>
      <c r="K434" s="121">
        <v>973</v>
      </c>
      <c r="L434" s="120" t="s">
        <v>809</v>
      </c>
      <c r="M434" s="132" t="s">
        <v>810</v>
      </c>
    </row>
    <row r="435" spans="1:13" ht="15.6">
      <c r="A435" s="119" t="s">
        <v>812</v>
      </c>
      <c r="B435" s="120" t="s">
        <v>258</v>
      </c>
      <c r="C435" s="121">
        <v>26.4</v>
      </c>
      <c r="D435" s="121">
        <v>0.99660000000000004</v>
      </c>
      <c r="E435" s="122">
        <v>58.69</v>
      </c>
      <c r="F435" s="121">
        <v>95.34</v>
      </c>
      <c r="G435" s="123">
        <v>1440</v>
      </c>
      <c r="H435" s="123">
        <v>5</v>
      </c>
      <c r="I435" s="123">
        <v>200</v>
      </c>
      <c r="J435" s="121">
        <v>10</v>
      </c>
      <c r="K435" s="121">
        <v>823</v>
      </c>
      <c r="L435" s="120" t="s">
        <v>809</v>
      </c>
      <c r="M435" s="132" t="s">
        <v>810</v>
      </c>
    </row>
    <row r="436" spans="1:13" ht="15.6">
      <c r="A436" s="119" t="s">
        <v>813</v>
      </c>
      <c r="B436" s="120" t="s">
        <v>258</v>
      </c>
      <c r="C436" s="121">
        <v>42</v>
      </c>
      <c r="D436" s="121">
        <v>0.12379999999999999</v>
      </c>
      <c r="E436" s="122">
        <v>7.33</v>
      </c>
      <c r="F436" s="121">
        <v>99.04</v>
      </c>
      <c r="G436" s="123">
        <v>1440</v>
      </c>
      <c r="H436" s="123">
        <v>5</v>
      </c>
      <c r="I436" s="123">
        <v>200</v>
      </c>
      <c r="J436" s="121">
        <v>5</v>
      </c>
      <c r="K436" s="121">
        <v>973</v>
      </c>
      <c r="L436" s="120" t="s">
        <v>809</v>
      </c>
      <c r="M436" s="132" t="s">
        <v>810</v>
      </c>
    </row>
    <row r="437" spans="1:13" ht="15.6">
      <c r="A437" s="119" t="s">
        <v>811</v>
      </c>
      <c r="B437" s="120" t="s">
        <v>258</v>
      </c>
      <c r="C437" s="121">
        <v>23.2</v>
      </c>
      <c r="D437" s="121">
        <v>0.19969999999999999</v>
      </c>
      <c r="E437" s="122">
        <v>11.73</v>
      </c>
      <c r="F437" s="121">
        <v>99.85</v>
      </c>
      <c r="G437" s="123">
        <v>1440</v>
      </c>
      <c r="H437" s="123">
        <v>5</v>
      </c>
      <c r="I437" s="123">
        <v>200</v>
      </c>
      <c r="J437" s="121">
        <v>5</v>
      </c>
      <c r="K437" s="121">
        <v>973</v>
      </c>
      <c r="L437" s="120" t="s">
        <v>809</v>
      </c>
      <c r="M437" s="132" t="s">
        <v>810</v>
      </c>
    </row>
    <row r="438" spans="1:13" ht="15.6">
      <c r="A438" s="119" t="s">
        <v>813</v>
      </c>
      <c r="B438" s="120" t="s">
        <v>258</v>
      </c>
      <c r="C438" s="121">
        <v>42</v>
      </c>
      <c r="D438" s="121">
        <v>6.08E-2</v>
      </c>
      <c r="E438" s="122">
        <v>58.69</v>
      </c>
      <c r="F438" s="121">
        <v>6.08</v>
      </c>
      <c r="G438" s="123">
        <v>1440</v>
      </c>
      <c r="H438" s="123">
        <v>5</v>
      </c>
      <c r="I438" s="123">
        <v>200</v>
      </c>
      <c r="J438" s="121">
        <v>2</v>
      </c>
      <c r="K438" s="121">
        <v>973</v>
      </c>
      <c r="L438" s="120" t="s">
        <v>809</v>
      </c>
      <c r="M438" s="132" t="s">
        <v>810</v>
      </c>
    </row>
    <row r="439" spans="1:13" ht="15.6">
      <c r="A439" s="119" t="s">
        <v>811</v>
      </c>
      <c r="B439" s="120" t="s">
        <v>258</v>
      </c>
      <c r="C439" s="121">
        <v>23.2</v>
      </c>
      <c r="D439" s="121">
        <v>0.32979999999999998</v>
      </c>
      <c r="E439" s="122">
        <v>29.34</v>
      </c>
      <c r="F439" s="121">
        <v>65.959999999999994</v>
      </c>
      <c r="G439" s="123">
        <v>1440</v>
      </c>
      <c r="H439" s="123">
        <v>5</v>
      </c>
      <c r="I439" s="123">
        <v>200</v>
      </c>
      <c r="J439" s="121">
        <v>5</v>
      </c>
      <c r="K439" s="121">
        <v>973</v>
      </c>
      <c r="L439" s="120" t="s">
        <v>809</v>
      </c>
      <c r="M439" s="132" t="s">
        <v>810</v>
      </c>
    </row>
    <row r="440" spans="1:13" ht="15.6">
      <c r="A440" s="119" t="s">
        <v>812</v>
      </c>
      <c r="B440" s="120" t="s">
        <v>258</v>
      </c>
      <c r="C440" s="121">
        <v>26.4</v>
      </c>
      <c r="D440" s="121">
        <v>0.1905</v>
      </c>
      <c r="E440" s="122">
        <v>19.559999999999999</v>
      </c>
      <c r="F440" s="121">
        <v>57.15</v>
      </c>
      <c r="G440" s="123">
        <v>1440</v>
      </c>
      <c r="H440" s="123">
        <v>5</v>
      </c>
      <c r="I440" s="123">
        <v>200</v>
      </c>
      <c r="J440" s="121">
        <v>5</v>
      </c>
      <c r="K440" s="121">
        <v>823</v>
      </c>
      <c r="L440" s="120" t="s">
        <v>809</v>
      </c>
      <c r="M440" s="132" t="s">
        <v>810</v>
      </c>
    </row>
    <row r="441" spans="1:13" ht="15.6">
      <c r="A441" s="119" t="s">
        <v>808</v>
      </c>
      <c r="B441" s="120" t="s">
        <v>258</v>
      </c>
      <c r="C441" s="121">
        <v>20.100000000000001</v>
      </c>
      <c r="D441" s="121">
        <v>8.7400000000000005E-2</v>
      </c>
      <c r="E441" s="122">
        <v>5.8689999999999998</v>
      </c>
      <c r="F441" s="121">
        <v>87.4</v>
      </c>
      <c r="G441" s="123">
        <v>1440</v>
      </c>
      <c r="H441" s="123">
        <v>5</v>
      </c>
      <c r="I441" s="123">
        <v>200</v>
      </c>
      <c r="J441" s="121">
        <v>5</v>
      </c>
      <c r="K441" s="121">
        <v>823</v>
      </c>
      <c r="L441" s="120" t="s">
        <v>809</v>
      </c>
      <c r="M441" s="132" t="s">
        <v>810</v>
      </c>
    </row>
    <row r="442" spans="1:13" ht="15.6">
      <c r="A442" s="119" t="s">
        <v>812</v>
      </c>
      <c r="B442" s="120" t="s">
        <v>258</v>
      </c>
      <c r="C442" s="121">
        <v>26.4</v>
      </c>
      <c r="D442" s="121">
        <v>0.18079999999999999</v>
      </c>
      <c r="E442" s="122">
        <v>14.67</v>
      </c>
      <c r="F442" s="121">
        <v>72.319999999999993</v>
      </c>
      <c r="G442" s="123">
        <v>1440</v>
      </c>
      <c r="H442" s="123">
        <v>5</v>
      </c>
      <c r="I442" s="123">
        <v>200</v>
      </c>
      <c r="J442" s="121">
        <v>5</v>
      </c>
      <c r="K442" s="121">
        <v>823</v>
      </c>
      <c r="L442" s="120" t="s">
        <v>809</v>
      </c>
      <c r="M442" s="132" t="s">
        <v>810</v>
      </c>
    </row>
    <row r="443" spans="1:13" ht="15.6">
      <c r="A443" s="119" t="s">
        <v>813</v>
      </c>
      <c r="B443" s="120" t="s">
        <v>258</v>
      </c>
      <c r="C443" s="121">
        <v>42</v>
      </c>
      <c r="D443" s="121">
        <v>0.1797</v>
      </c>
      <c r="E443" s="122">
        <v>29.34</v>
      </c>
      <c r="F443" s="121">
        <v>35.94</v>
      </c>
      <c r="G443" s="123">
        <v>1440</v>
      </c>
      <c r="H443" s="123">
        <v>5</v>
      </c>
      <c r="I443" s="123">
        <v>200</v>
      </c>
      <c r="J443" s="121">
        <v>5</v>
      </c>
      <c r="K443" s="121">
        <v>973</v>
      </c>
      <c r="L443" s="120" t="s">
        <v>809</v>
      </c>
      <c r="M443" s="132" t="s">
        <v>810</v>
      </c>
    </row>
    <row r="444" spans="1:13" ht="15.6">
      <c r="A444" s="119" t="s">
        <v>812</v>
      </c>
      <c r="B444" s="120" t="s">
        <v>258</v>
      </c>
      <c r="C444" s="121">
        <v>26.4</v>
      </c>
      <c r="D444" s="121">
        <v>0.12379999999999999</v>
      </c>
      <c r="E444" s="122">
        <v>7.33</v>
      </c>
      <c r="F444" s="121">
        <v>99.04</v>
      </c>
      <c r="G444" s="123">
        <v>1440</v>
      </c>
      <c r="H444" s="123">
        <v>5</v>
      </c>
      <c r="I444" s="123">
        <v>200</v>
      </c>
      <c r="J444" s="121">
        <v>5</v>
      </c>
      <c r="K444" s="121">
        <v>823</v>
      </c>
      <c r="L444" s="120" t="s">
        <v>809</v>
      </c>
      <c r="M444" s="132" t="s">
        <v>810</v>
      </c>
    </row>
    <row r="445" spans="1:13" ht="15.6">
      <c r="A445" s="119" t="s">
        <v>813</v>
      </c>
      <c r="B445" s="120" t="s">
        <v>258</v>
      </c>
      <c r="C445" s="121">
        <v>42</v>
      </c>
      <c r="D445" s="121">
        <v>0.18629999999999999</v>
      </c>
      <c r="E445" s="122">
        <v>58.69</v>
      </c>
      <c r="F445" s="121">
        <v>18.63</v>
      </c>
      <c r="G445" s="123">
        <v>1440</v>
      </c>
      <c r="H445" s="123">
        <v>5</v>
      </c>
      <c r="I445" s="123">
        <v>200</v>
      </c>
      <c r="J445" s="121">
        <v>5</v>
      </c>
      <c r="K445" s="121">
        <v>973</v>
      </c>
      <c r="L445" s="120" t="s">
        <v>809</v>
      </c>
      <c r="M445" s="132" t="s">
        <v>810</v>
      </c>
    </row>
    <row r="446" spans="1:13" ht="15.6">
      <c r="A446" s="119" t="s">
        <v>811</v>
      </c>
      <c r="B446" s="120" t="s">
        <v>258</v>
      </c>
      <c r="C446" s="121">
        <v>23.2</v>
      </c>
      <c r="D446" s="121">
        <v>0.1658</v>
      </c>
      <c r="E446" s="122">
        <v>9.7799999999999994</v>
      </c>
      <c r="F446" s="121">
        <v>99.46</v>
      </c>
      <c r="G446" s="123">
        <v>1440</v>
      </c>
      <c r="H446" s="123">
        <v>5</v>
      </c>
      <c r="I446" s="123">
        <v>200</v>
      </c>
      <c r="J446" s="121">
        <v>5</v>
      </c>
      <c r="K446" s="121">
        <v>973</v>
      </c>
      <c r="L446" s="120" t="s">
        <v>809</v>
      </c>
      <c r="M446" s="132" t="s">
        <v>810</v>
      </c>
    </row>
    <row r="447" spans="1:13" ht="15.6">
      <c r="A447" s="119" t="s">
        <v>813</v>
      </c>
      <c r="B447" s="120" t="s">
        <v>258</v>
      </c>
      <c r="C447" s="121">
        <v>42</v>
      </c>
      <c r="D447" s="121">
        <v>0.10340000000000001</v>
      </c>
      <c r="E447" s="122">
        <v>58.69</v>
      </c>
      <c r="F447" s="121">
        <v>10.34</v>
      </c>
      <c r="G447" s="123">
        <v>1440</v>
      </c>
      <c r="H447" s="123">
        <v>5</v>
      </c>
      <c r="I447" s="123">
        <v>200</v>
      </c>
      <c r="J447" s="121">
        <v>3</v>
      </c>
      <c r="K447" s="121">
        <v>973</v>
      </c>
      <c r="L447" s="120" t="s">
        <v>809</v>
      </c>
      <c r="M447" s="132" t="s">
        <v>810</v>
      </c>
    </row>
    <row r="448" spans="1:13" ht="15.6">
      <c r="A448" s="119" t="s">
        <v>812</v>
      </c>
      <c r="B448" s="120" t="s">
        <v>258</v>
      </c>
      <c r="C448" s="121">
        <v>26.4</v>
      </c>
      <c r="D448" s="121">
        <v>0.249</v>
      </c>
      <c r="E448" s="122">
        <v>58.69</v>
      </c>
      <c r="F448" s="121">
        <v>24.9</v>
      </c>
      <c r="G448" s="123">
        <v>1440</v>
      </c>
      <c r="H448" s="123">
        <v>5</v>
      </c>
      <c r="I448" s="123">
        <v>200</v>
      </c>
      <c r="J448" s="121">
        <v>7</v>
      </c>
      <c r="K448" s="121">
        <v>823</v>
      </c>
      <c r="L448" s="120" t="s">
        <v>809</v>
      </c>
      <c r="M448" s="132" t="s">
        <v>810</v>
      </c>
    </row>
    <row r="449" spans="1:13" ht="15.6">
      <c r="A449" s="119" t="s">
        <v>812</v>
      </c>
      <c r="B449" s="120" t="s">
        <v>258</v>
      </c>
      <c r="C449" s="121">
        <v>26.4</v>
      </c>
      <c r="D449" s="121">
        <v>0.12470000000000001</v>
      </c>
      <c r="E449" s="122">
        <v>58.69</v>
      </c>
      <c r="F449" s="121">
        <v>12.47</v>
      </c>
      <c r="G449" s="123">
        <v>1440</v>
      </c>
      <c r="H449" s="123">
        <v>5</v>
      </c>
      <c r="I449" s="123">
        <v>200</v>
      </c>
      <c r="J449" s="121">
        <v>3</v>
      </c>
      <c r="K449" s="121">
        <v>823</v>
      </c>
      <c r="L449" s="120" t="s">
        <v>809</v>
      </c>
      <c r="M449" s="132" t="s">
        <v>810</v>
      </c>
    </row>
    <row r="450" spans="1:13" ht="15.6">
      <c r="A450" s="119" t="s">
        <v>813</v>
      </c>
      <c r="B450" s="120" t="s">
        <v>258</v>
      </c>
      <c r="C450" s="121">
        <v>42</v>
      </c>
      <c r="D450" s="121">
        <v>0.23130000000000001</v>
      </c>
      <c r="E450" s="122">
        <v>58.69</v>
      </c>
      <c r="F450" s="121">
        <v>23.13</v>
      </c>
      <c r="G450" s="123">
        <v>1440</v>
      </c>
      <c r="H450" s="123">
        <v>5</v>
      </c>
      <c r="I450" s="123">
        <v>200</v>
      </c>
      <c r="J450" s="121">
        <v>8</v>
      </c>
      <c r="K450" s="121">
        <v>973</v>
      </c>
      <c r="L450" s="120" t="s">
        <v>809</v>
      </c>
      <c r="M450" s="132" t="s">
        <v>810</v>
      </c>
    </row>
    <row r="451" spans="1:13" ht="15.6">
      <c r="A451" s="119" t="s">
        <v>808</v>
      </c>
      <c r="B451" s="120" t="s">
        <v>258</v>
      </c>
      <c r="C451" s="121">
        <v>20.100000000000001</v>
      </c>
      <c r="D451" s="121">
        <v>9.0999999999999998E-2</v>
      </c>
      <c r="E451" s="122">
        <v>6.52</v>
      </c>
      <c r="F451" s="121">
        <v>81.900000000000006</v>
      </c>
      <c r="G451" s="123">
        <v>1440</v>
      </c>
      <c r="H451" s="123">
        <v>5</v>
      </c>
      <c r="I451" s="123">
        <v>200</v>
      </c>
      <c r="J451" s="121">
        <v>5</v>
      </c>
      <c r="K451" s="121">
        <v>823</v>
      </c>
      <c r="L451" s="120" t="s">
        <v>809</v>
      </c>
      <c r="M451" s="132" t="s">
        <v>810</v>
      </c>
    </row>
    <row r="452" spans="1:13" ht="15.6">
      <c r="A452" s="119" t="s">
        <v>811</v>
      </c>
      <c r="B452" s="120" t="s">
        <v>258</v>
      </c>
      <c r="C452" s="121">
        <v>23.2</v>
      </c>
      <c r="D452" s="121">
        <v>0.39119999999999999</v>
      </c>
      <c r="E452" s="122">
        <v>58.69</v>
      </c>
      <c r="F452" s="121">
        <v>39.119999999999997</v>
      </c>
      <c r="G452" s="123">
        <v>1440</v>
      </c>
      <c r="H452" s="123">
        <v>5</v>
      </c>
      <c r="I452" s="123">
        <v>200</v>
      </c>
      <c r="J452" s="121">
        <v>5</v>
      </c>
      <c r="K452" s="121">
        <v>973</v>
      </c>
      <c r="L452" s="120" t="s">
        <v>809</v>
      </c>
      <c r="M452" s="132" t="s">
        <v>810</v>
      </c>
    </row>
    <row r="453" spans="1:13" ht="15.6">
      <c r="A453" s="119" t="s">
        <v>812</v>
      </c>
      <c r="B453" s="120" t="s">
        <v>258</v>
      </c>
      <c r="C453" s="121">
        <v>26.4</v>
      </c>
      <c r="D453" s="121">
        <v>0.997</v>
      </c>
      <c r="E453" s="122">
        <v>58.69</v>
      </c>
      <c r="F453" s="121">
        <v>99.7</v>
      </c>
      <c r="G453" s="123">
        <v>1440</v>
      </c>
      <c r="H453" s="123">
        <v>5</v>
      </c>
      <c r="I453" s="123">
        <v>200</v>
      </c>
      <c r="J453" s="121">
        <v>9</v>
      </c>
      <c r="K453" s="121">
        <v>823</v>
      </c>
      <c r="L453" s="120" t="s">
        <v>809</v>
      </c>
      <c r="M453" s="132" t="s">
        <v>810</v>
      </c>
    </row>
    <row r="454" spans="1:13" ht="15.6">
      <c r="A454" s="119" t="s">
        <v>808</v>
      </c>
      <c r="B454" s="120" t="s">
        <v>258</v>
      </c>
      <c r="C454" s="121">
        <v>20.100000000000001</v>
      </c>
      <c r="D454" s="121">
        <v>9.8599999999999993E-2</v>
      </c>
      <c r="E454" s="122">
        <v>9.7799999999999994</v>
      </c>
      <c r="F454" s="121">
        <v>59.14</v>
      </c>
      <c r="G454" s="123">
        <v>1440</v>
      </c>
      <c r="H454" s="123">
        <v>5</v>
      </c>
      <c r="I454" s="123">
        <v>200</v>
      </c>
      <c r="J454" s="121">
        <v>5</v>
      </c>
      <c r="K454" s="121">
        <v>823</v>
      </c>
      <c r="L454" s="120" t="s">
        <v>809</v>
      </c>
      <c r="M454" s="132" t="s">
        <v>810</v>
      </c>
    </row>
    <row r="455" spans="1:13" ht="15.6">
      <c r="A455" s="119" t="s">
        <v>813</v>
      </c>
      <c r="B455" s="120" t="s">
        <v>258</v>
      </c>
      <c r="C455" s="121">
        <v>42</v>
      </c>
      <c r="D455" s="121">
        <v>0.1638</v>
      </c>
      <c r="E455" s="122">
        <v>14.67</v>
      </c>
      <c r="F455" s="121">
        <v>65.52</v>
      </c>
      <c r="G455" s="123">
        <v>1440</v>
      </c>
      <c r="H455" s="123">
        <v>5</v>
      </c>
      <c r="I455" s="123">
        <v>200</v>
      </c>
      <c r="J455" s="121">
        <v>5</v>
      </c>
      <c r="K455" s="121">
        <v>973</v>
      </c>
      <c r="L455" s="120" t="s">
        <v>809</v>
      </c>
      <c r="M455" s="132" t="s">
        <v>810</v>
      </c>
    </row>
    <row r="456" spans="1:13" ht="15.6">
      <c r="A456" s="119" t="s">
        <v>813</v>
      </c>
      <c r="B456" s="120" t="s">
        <v>258</v>
      </c>
      <c r="C456" s="121">
        <v>42</v>
      </c>
      <c r="D456" s="121">
        <v>9.9699999999999997E-2</v>
      </c>
      <c r="E456" s="122">
        <v>5.86</v>
      </c>
      <c r="F456" s="121">
        <v>99.7</v>
      </c>
      <c r="G456" s="123">
        <v>1440</v>
      </c>
      <c r="H456" s="123">
        <v>5</v>
      </c>
      <c r="I456" s="123">
        <v>200</v>
      </c>
      <c r="J456" s="121">
        <v>5</v>
      </c>
      <c r="K456" s="121">
        <v>973</v>
      </c>
      <c r="L456" s="120" t="s">
        <v>809</v>
      </c>
      <c r="M456" s="132" t="s">
        <v>810</v>
      </c>
    </row>
    <row r="457" spans="1:13" ht="15.6">
      <c r="A457" s="119" t="s">
        <v>808</v>
      </c>
      <c r="B457" s="120" t="s">
        <v>258</v>
      </c>
      <c r="C457" s="121">
        <v>20.100000000000001</v>
      </c>
      <c r="D457" s="121">
        <v>0.1211</v>
      </c>
      <c r="E457" s="122">
        <v>58.69</v>
      </c>
      <c r="F457" s="121">
        <v>12.11</v>
      </c>
      <c r="G457" s="123">
        <v>1440</v>
      </c>
      <c r="H457" s="123">
        <v>5</v>
      </c>
      <c r="I457" s="123">
        <v>200</v>
      </c>
      <c r="J457" s="121">
        <v>4</v>
      </c>
      <c r="K457" s="121">
        <v>823</v>
      </c>
      <c r="L457" s="120" t="s">
        <v>809</v>
      </c>
      <c r="M457" s="132" t="s">
        <v>810</v>
      </c>
    </row>
    <row r="458" spans="1:13" ht="15.6">
      <c r="A458" s="119" t="s">
        <v>808</v>
      </c>
      <c r="B458" s="120" t="s">
        <v>258</v>
      </c>
      <c r="C458" s="121">
        <v>20.100000000000001</v>
      </c>
      <c r="D458" s="121">
        <v>0.99829999999999997</v>
      </c>
      <c r="E458" s="122">
        <v>58.69</v>
      </c>
      <c r="F458" s="121">
        <v>99.83</v>
      </c>
      <c r="G458" s="123">
        <v>1440</v>
      </c>
      <c r="H458" s="123">
        <v>5</v>
      </c>
      <c r="I458" s="123">
        <v>200</v>
      </c>
      <c r="J458" s="121">
        <v>10</v>
      </c>
      <c r="K458" s="121">
        <v>823</v>
      </c>
      <c r="L458" s="120" t="s">
        <v>809</v>
      </c>
      <c r="M458" s="132" t="s">
        <v>810</v>
      </c>
    </row>
    <row r="459" spans="1:13" ht="15.6">
      <c r="A459" s="119" t="s">
        <v>813</v>
      </c>
      <c r="B459" s="120" t="s">
        <v>258</v>
      </c>
      <c r="C459" s="121">
        <v>42</v>
      </c>
      <c r="D459" s="121">
        <v>0.1104</v>
      </c>
      <c r="E459" s="122">
        <v>6.52</v>
      </c>
      <c r="F459" s="121">
        <v>99.36</v>
      </c>
      <c r="G459" s="123">
        <v>1440</v>
      </c>
      <c r="H459" s="123">
        <v>5</v>
      </c>
      <c r="I459" s="123">
        <v>200</v>
      </c>
      <c r="J459" s="121">
        <v>5</v>
      </c>
      <c r="K459" s="121">
        <v>973</v>
      </c>
      <c r="L459" s="120" t="s">
        <v>809</v>
      </c>
      <c r="M459" s="132" t="s">
        <v>810</v>
      </c>
    </row>
    <row r="460" spans="1:13" ht="15.6">
      <c r="A460" s="119" t="s">
        <v>811</v>
      </c>
      <c r="B460" s="120" t="s">
        <v>258</v>
      </c>
      <c r="C460" s="121">
        <v>23.2</v>
      </c>
      <c r="D460" s="121">
        <v>9.3100000000000002E-2</v>
      </c>
      <c r="E460" s="122">
        <v>58.69</v>
      </c>
      <c r="F460" s="121">
        <v>9.31</v>
      </c>
      <c r="G460" s="123">
        <v>1440</v>
      </c>
      <c r="H460" s="123">
        <v>5</v>
      </c>
      <c r="I460" s="123">
        <v>200</v>
      </c>
      <c r="J460" s="121">
        <v>2</v>
      </c>
      <c r="K460" s="121">
        <v>973</v>
      </c>
      <c r="L460" s="120" t="s">
        <v>809</v>
      </c>
      <c r="M460" s="132" t="s">
        <v>810</v>
      </c>
    </row>
    <row r="461" spans="1:13" ht="15.6">
      <c r="A461" s="119" t="s">
        <v>808</v>
      </c>
      <c r="B461" s="120" t="s">
        <v>258</v>
      </c>
      <c r="C461" s="121">
        <v>20.100000000000001</v>
      </c>
      <c r="D461" s="121">
        <v>0.9798</v>
      </c>
      <c r="E461" s="122">
        <v>58.69</v>
      </c>
      <c r="F461" s="121">
        <v>97.98</v>
      </c>
      <c r="G461" s="123">
        <v>1440</v>
      </c>
      <c r="H461" s="123">
        <v>5</v>
      </c>
      <c r="I461" s="123">
        <v>200</v>
      </c>
      <c r="J461" s="121">
        <v>9</v>
      </c>
      <c r="K461" s="121">
        <v>823</v>
      </c>
      <c r="L461" s="120" t="s">
        <v>809</v>
      </c>
      <c r="M461" s="132" t="s">
        <v>810</v>
      </c>
    </row>
    <row r="462" spans="1:13" ht="15.6">
      <c r="A462" s="119" t="s">
        <v>812</v>
      </c>
      <c r="B462" s="120" t="s">
        <v>258</v>
      </c>
      <c r="C462" s="121">
        <v>26.4</v>
      </c>
      <c r="D462" s="121">
        <v>0.15920000000000001</v>
      </c>
      <c r="E462" s="122">
        <v>9.7799999999999994</v>
      </c>
      <c r="F462" s="121">
        <v>95.5</v>
      </c>
      <c r="G462" s="123">
        <v>1440</v>
      </c>
      <c r="H462" s="123">
        <v>5</v>
      </c>
      <c r="I462" s="123">
        <v>200</v>
      </c>
      <c r="J462" s="121">
        <v>5</v>
      </c>
      <c r="K462" s="121">
        <v>823</v>
      </c>
      <c r="L462" s="120" t="s">
        <v>809</v>
      </c>
      <c r="M462" s="132" t="s">
        <v>810</v>
      </c>
    </row>
    <row r="463" spans="1:13" ht="15.6">
      <c r="A463" s="119" t="s">
        <v>812</v>
      </c>
      <c r="B463" s="120" t="s">
        <v>258</v>
      </c>
      <c r="C463" s="121">
        <v>26.4</v>
      </c>
      <c r="D463" s="121">
        <v>0.26729999999999998</v>
      </c>
      <c r="E463" s="122">
        <v>58.69</v>
      </c>
      <c r="F463" s="121">
        <v>26.73</v>
      </c>
      <c r="G463" s="123">
        <v>1440</v>
      </c>
      <c r="H463" s="123">
        <v>5</v>
      </c>
      <c r="I463" s="123">
        <v>200</v>
      </c>
      <c r="J463" s="121">
        <v>8</v>
      </c>
      <c r="K463" s="121">
        <v>823</v>
      </c>
      <c r="L463" s="120" t="s">
        <v>809</v>
      </c>
      <c r="M463" s="132" t="s">
        <v>810</v>
      </c>
    </row>
    <row r="464" spans="1:13" ht="15.6">
      <c r="A464" s="119" t="s">
        <v>808</v>
      </c>
      <c r="B464" s="120" t="s">
        <v>258</v>
      </c>
      <c r="C464" s="121">
        <v>20.100000000000001</v>
      </c>
      <c r="D464" s="121">
        <v>8.0500000000000002E-2</v>
      </c>
      <c r="E464" s="122">
        <v>58.69</v>
      </c>
      <c r="F464" s="121">
        <v>8.0500000000000007</v>
      </c>
      <c r="G464" s="123">
        <v>1440</v>
      </c>
      <c r="H464" s="123">
        <v>5</v>
      </c>
      <c r="I464" s="123">
        <v>200</v>
      </c>
      <c r="J464" s="121">
        <v>3</v>
      </c>
      <c r="K464" s="121">
        <v>823</v>
      </c>
      <c r="L464" s="120" t="s">
        <v>809</v>
      </c>
      <c r="M464" s="132" t="s">
        <v>810</v>
      </c>
    </row>
    <row r="465" spans="1:13" ht="15.6">
      <c r="A465" s="119" t="s">
        <v>808</v>
      </c>
      <c r="B465" s="120" t="s">
        <v>258</v>
      </c>
      <c r="C465" s="121">
        <v>20.100000000000001</v>
      </c>
      <c r="D465" s="121">
        <v>0.1168</v>
      </c>
      <c r="E465" s="122">
        <v>29.34</v>
      </c>
      <c r="F465" s="121">
        <v>23.36</v>
      </c>
      <c r="G465" s="123">
        <v>1440</v>
      </c>
      <c r="H465" s="123">
        <v>5</v>
      </c>
      <c r="I465" s="123">
        <v>200</v>
      </c>
      <c r="J465" s="121">
        <v>5</v>
      </c>
      <c r="K465" s="121">
        <v>823</v>
      </c>
      <c r="L465" s="120" t="s">
        <v>809</v>
      </c>
      <c r="M465" s="132" t="s">
        <v>810</v>
      </c>
    </row>
    <row r="466" spans="1:13" ht="15.6">
      <c r="A466" s="119" t="s">
        <v>811</v>
      </c>
      <c r="B466" s="120" t="s">
        <v>258</v>
      </c>
      <c r="C466" s="121">
        <v>23.2</v>
      </c>
      <c r="D466" s="121">
        <v>0.38869999999999999</v>
      </c>
      <c r="E466" s="122">
        <v>58.69</v>
      </c>
      <c r="F466" s="121">
        <v>38.869999999999997</v>
      </c>
      <c r="G466" s="123">
        <v>1440</v>
      </c>
      <c r="H466" s="123">
        <v>5</v>
      </c>
      <c r="I466" s="123">
        <v>200</v>
      </c>
      <c r="J466" s="121">
        <v>7</v>
      </c>
      <c r="K466" s="121">
        <v>973</v>
      </c>
      <c r="L466" s="120" t="s">
        <v>809</v>
      </c>
      <c r="M466" s="132" t="s">
        <v>810</v>
      </c>
    </row>
    <row r="467" spans="1:13" ht="15.6">
      <c r="A467" s="119" t="s">
        <v>813</v>
      </c>
      <c r="B467" s="120" t="s">
        <v>258</v>
      </c>
      <c r="C467" s="121">
        <v>42</v>
      </c>
      <c r="D467" s="121">
        <v>0.99829999999999997</v>
      </c>
      <c r="E467" s="122">
        <v>58.69</v>
      </c>
      <c r="F467" s="121">
        <v>99.83</v>
      </c>
      <c r="G467" s="123">
        <v>1440</v>
      </c>
      <c r="H467" s="123">
        <v>5</v>
      </c>
      <c r="I467" s="123">
        <v>200</v>
      </c>
      <c r="J467" s="121">
        <v>9</v>
      </c>
      <c r="K467" s="121">
        <v>973</v>
      </c>
      <c r="L467" s="120" t="s">
        <v>809</v>
      </c>
      <c r="M467" s="132" t="s">
        <v>810</v>
      </c>
    </row>
    <row r="468" spans="1:13" ht="15.6">
      <c r="A468" s="119" t="s">
        <v>811</v>
      </c>
      <c r="B468" s="120" t="s">
        <v>258</v>
      </c>
      <c r="C468" s="121">
        <v>23.2</v>
      </c>
      <c r="D468" s="121">
        <v>0.3876</v>
      </c>
      <c r="E468" s="122">
        <v>58.69</v>
      </c>
      <c r="F468" s="121">
        <v>38.76</v>
      </c>
      <c r="G468" s="123">
        <v>1440</v>
      </c>
      <c r="H468" s="123">
        <v>5</v>
      </c>
      <c r="I468" s="123">
        <v>200</v>
      </c>
      <c r="J468" s="121">
        <v>4</v>
      </c>
      <c r="K468" s="121">
        <v>973</v>
      </c>
      <c r="L468" s="120" t="s">
        <v>809</v>
      </c>
      <c r="M468" s="132" t="s">
        <v>810</v>
      </c>
    </row>
    <row r="469" spans="1:13" ht="15.6">
      <c r="A469" s="119" t="s">
        <v>808</v>
      </c>
      <c r="B469" s="120" t="s">
        <v>258</v>
      </c>
      <c r="C469" s="121">
        <v>20.100000000000001</v>
      </c>
      <c r="D469" s="121">
        <v>9.64E-2</v>
      </c>
      <c r="E469" s="122">
        <v>8.3800000000000008</v>
      </c>
      <c r="F469" s="121">
        <v>67.45</v>
      </c>
      <c r="G469" s="123">
        <v>1440</v>
      </c>
      <c r="H469" s="123">
        <v>5</v>
      </c>
      <c r="I469" s="123">
        <v>200</v>
      </c>
      <c r="J469" s="121">
        <v>5</v>
      </c>
      <c r="K469" s="121">
        <v>823</v>
      </c>
      <c r="L469" s="120" t="s">
        <v>809</v>
      </c>
      <c r="M469" s="132" t="s">
        <v>810</v>
      </c>
    </row>
    <row r="470" spans="1:13" ht="15.6">
      <c r="A470" s="119" t="s">
        <v>813</v>
      </c>
      <c r="B470" s="120" t="s">
        <v>258</v>
      </c>
      <c r="C470" s="121">
        <v>42</v>
      </c>
      <c r="D470" s="121">
        <v>0.1716</v>
      </c>
      <c r="E470" s="122">
        <v>19.559999999999999</v>
      </c>
      <c r="F470" s="121">
        <v>51.48</v>
      </c>
      <c r="G470" s="123">
        <v>1440</v>
      </c>
      <c r="H470" s="123">
        <v>5</v>
      </c>
      <c r="I470" s="123">
        <v>200</v>
      </c>
      <c r="J470" s="121">
        <v>5</v>
      </c>
      <c r="K470" s="121">
        <v>973</v>
      </c>
      <c r="L470" s="120" t="s">
        <v>809</v>
      </c>
      <c r="M470" s="132" t="s">
        <v>810</v>
      </c>
    </row>
    <row r="471" spans="1:13" ht="15.6">
      <c r="A471" s="119" t="s">
        <v>808</v>
      </c>
      <c r="B471" s="120" t="s">
        <v>258</v>
      </c>
      <c r="C471" s="121">
        <v>20.100000000000001</v>
      </c>
      <c r="D471" s="121">
        <v>0.1016</v>
      </c>
      <c r="E471" s="122">
        <v>11.73</v>
      </c>
      <c r="F471" s="121">
        <v>50.8</v>
      </c>
      <c r="G471" s="123">
        <v>1440</v>
      </c>
      <c r="H471" s="123">
        <v>5</v>
      </c>
      <c r="I471" s="123">
        <v>200</v>
      </c>
      <c r="J471" s="121">
        <v>5</v>
      </c>
      <c r="K471" s="121">
        <v>823</v>
      </c>
      <c r="L471" s="120" t="s">
        <v>809</v>
      </c>
      <c r="M471" s="132" t="s">
        <v>810</v>
      </c>
    </row>
    <row r="472" spans="1:13" ht="15.6">
      <c r="A472" s="119" t="s">
        <v>811</v>
      </c>
      <c r="B472" s="120" t="s">
        <v>258</v>
      </c>
      <c r="C472" s="121">
        <v>23.2</v>
      </c>
      <c r="D472" s="121">
        <v>0.248</v>
      </c>
      <c r="E472" s="122">
        <v>58.69</v>
      </c>
      <c r="F472" s="121">
        <v>24.8</v>
      </c>
      <c r="G472" s="123">
        <v>1440</v>
      </c>
      <c r="H472" s="123">
        <v>5</v>
      </c>
      <c r="I472" s="123">
        <v>200</v>
      </c>
      <c r="J472" s="121">
        <v>3</v>
      </c>
      <c r="K472" s="121">
        <v>973</v>
      </c>
      <c r="L472" s="120" t="s">
        <v>809</v>
      </c>
      <c r="M472" s="132" t="s">
        <v>810</v>
      </c>
    </row>
    <row r="473" spans="1:13" ht="15.6">
      <c r="A473" s="119" t="s">
        <v>808</v>
      </c>
      <c r="B473" s="120" t="s">
        <v>258</v>
      </c>
      <c r="C473" s="121">
        <v>20.100000000000001</v>
      </c>
      <c r="D473" s="121">
        <v>0.105</v>
      </c>
      <c r="E473" s="122">
        <v>14.67</v>
      </c>
      <c r="F473" s="121">
        <v>42</v>
      </c>
      <c r="G473" s="123">
        <v>1440</v>
      </c>
      <c r="H473" s="123">
        <v>5</v>
      </c>
      <c r="I473" s="123">
        <v>200</v>
      </c>
      <c r="J473" s="121">
        <v>5</v>
      </c>
      <c r="K473" s="121">
        <v>823</v>
      </c>
      <c r="L473" s="120" t="s">
        <v>809</v>
      </c>
      <c r="M473" s="132" t="s">
        <v>810</v>
      </c>
    </row>
    <row r="474" spans="1:13" ht="15.6">
      <c r="A474" s="119" t="s">
        <v>812</v>
      </c>
      <c r="B474" s="120" t="s">
        <v>258</v>
      </c>
      <c r="C474" s="121">
        <v>26.4</v>
      </c>
      <c r="D474" s="121">
        <v>0.2366</v>
      </c>
      <c r="E474" s="122">
        <v>58.69</v>
      </c>
      <c r="F474" s="121">
        <v>23.66</v>
      </c>
      <c r="G474" s="123">
        <v>1440</v>
      </c>
      <c r="H474" s="123">
        <v>5</v>
      </c>
      <c r="I474" s="123">
        <v>200</v>
      </c>
      <c r="J474" s="121">
        <v>4</v>
      </c>
      <c r="K474" s="121">
        <v>823</v>
      </c>
      <c r="L474" s="120" t="s">
        <v>809</v>
      </c>
      <c r="M474" s="132" t="s">
        <v>810</v>
      </c>
    </row>
    <row r="475" spans="1:13" ht="15.6">
      <c r="A475" s="119" t="s">
        <v>813</v>
      </c>
      <c r="B475" s="120" t="s">
        <v>258</v>
      </c>
      <c r="C475" s="121">
        <v>42</v>
      </c>
      <c r="D475" s="121">
        <v>0.19719999999999999</v>
      </c>
      <c r="E475" s="122">
        <v>58.69</v>
      </c>
      <c r="F475" s="121">
        <v>19.72</v>
      </c>
      <c r="G475" s="123">
        <v>1440</v>
      </c>
      <c r="H475" s="123">
        <v>5</v>
      </c>
      <c r="I475" s="123">
        <v>200</v>
      </c>
      <c r="J475" s="121">
        <v>7</v>
      </c>
      <c r="K475" s="121">
        <v>973</v>
      </c>
      <c r="L475" s="120" t="s">
        <v>809</v>
      </c>
      <c r="M475" s="132" t="s">
        <v>810</v>
      </c>
    </row>
    <row r="476" spans="1:13" ht="15.6">
      <c r="A476" s="119" t="s">
        <v>808</v>
      </c>
      <c r="B476" s="120" t="s">
        <v>258</v>
      </c>
      <c r="C476" s="121">
        <v>20.100000000000001</v>
      </c>
      <c r="D476" s="121">
        <v>9.4E-2</v>
      </c>
      <c r="E476" s="122">
        <v>7.33</v>
      </c>
      <c r="F476" s="121">
        <v>75.2</v>
      </c>
      <c r="G476" s="123">
        <v>1440</v>
      </c>
      <c r="H476" s="123">
        <v>5</v>
      </c>
      <c r="I476" s="123">
        <v>200</v>
      </c>
      <c r="J476" s="121">
        <v>5</v>
      </c>
      <c r="K476" s="121">
        <v>823</v>
      </c>
      <c r="L476" s="120" t="s">
        <v>809</v>
      </c>
      <c r="M476" s="132" t="s">
        <v>810</v>
      </c>
    </row>
    <row r="477" spans="1:13" ht="15.6">
      <c r="A477" s="119" t="s">
        <v>811</v>
      </c>
      <c r="B477" s="120" t="s">
        <v>258</v>
      </c>
      <c r="C477" s="121">
        <v>23.2</v>
      </c>
      <c r="D477" s="121">
        <v>0.39529999999999998</v>
      </c>
      <c r="E477" s="122">
        <v>58.69</v>
      </c>
      <c r="F477" s="121">
        <v>39.53</v>
      </c>
      <c r="G477" s="123">
        <v>1440</v>
      </c>
      <c r="H477" s="123">
        <v>5</v>
      </c>
      <c r="I477" s="123">
        <v>200</v>
      </c>
      <c r="J477" s="121">
        <v>8</v>
      </c>
      <c r="K477" s="121">
        <v>973</v>
      </c>
      <c r="L477" s="120" t="s">
        <v>809</v>
      </c>
      <c r="M477" s="132" t="s">
        <v>810</v>
      </c>
    </row>
    <row r="478" spans="1:13" ht="15.6">
      <c r="A478" s="119" t="s">
        <v>813</v>
      </c>
      <c r="B478" s="120" t="s">
        <v>258</v>
      </c>
      <c r="C478" s="121">
        <v>42</v>
      </c>
      <c r="D478" s="121">
        <v>0.13750000000000001</v>
      </c>
      <c r="E478" s="122">
        <v>8.3800000000000008</v>
      </c>
      <c r="F478" s="121">
        <v>96.22</v>
      </c>
      <c r="G478" s="123">
        <v>1440</v>
      </c>
      <c r="H478" s="123">
        <v>5</v>
      </c>
      <c r="I478" s="123">
        <v>200</v>
      </c>
      <c r="J478" s="121">
        <v>5</v>
      </c>
      <c r="K478" s="121">
        <v>973</v>
      </c>
      <c r="L478" s="120" t="s">
        <v>809</v>
      </c>
      <c r="M478" s="132" t="s">
        <v>810</v>
      </c>
    </row>
    <row r="479" spans="1:13" ht="15.6">
      <c r="A479" s="119" t="s">
        <v>813</v>
      </c>
      <c r="B479" s="120" t="s">
        <v>258</v>
      </c>
      <c r="C479" s="121">
        <v>42</v>
      </c>
      <c r="D479" s="121">
        <v>0.19719999999999999</v>
      </c>
      <c r="E479" s="122">
        <v>58.69</v>
      </c>
      <c r="F479" s="121">
        <v>19.72</v>
      </c>
      <c r="G479" s="123">
        <v>1440</v>
      </c>
      <c r="H479" s="123">
        <v>5</v>
      </c>
      <c r="I479" s="123">
        <v>200</v>
      </c>
      <c r="J479" s="121">
        <v>6</v>
      </c>
      <c r="K479" s="121">
        <v>973</v>
      </c>
      <c r="L479" s="120" t="s">
        <v>809</v>
      </c>
      <c r="M479" s="132" t="s">
        <v>810</v>
      </c>
    </row>
    <row r="480" spans="1:13" ht="15.6">
      <c r="A480" s="119" t="s">
        <v>812</v>
      </c>
      <c r="B480" s="120" t="s">
        <v>258</v>
      </c>
      <c r="C480" s="121">
        <v>26.4</v>
      </c>
      <c r="D480" s="121">
        <v>0.21640000000000001</v>
      </c>
      <c r="E480" s="122">
        <v>29.34</v>
      </c>
      <c r="F480" s="121">
        <v>43.28</v>
      </c>
      <c r="G480" s="123">
        <v>1440</v>
      </c>
      <c r="H480" s="123">
        <v>5</v>
      </c>
      <c r="I480" s="123">
        <v>200</v>
      </c>
      <c r="J480" s="121">
        <v>5</v>
      </c>
      <c r="K480" s="121">
        <v>823</v>
      </c>
      <c r="L480" s="120" t="s">
        <v>809</v>
      </c>
      <c r="M480" s="132" t="s">
        <v>810</v>
      </c>
    </row>
    <row r="481" spans="1:13" ht="15.6">
      <c r="A481" s="119" t="s">
        <v>812</v>
      </c>
      <c r="B481" s="120" t="s">
        <v>258</v>
      </c>
      <c r="C481" s="121">
        <v>26.4</v>
      </c>
      <c r="D481" s="121">
        <v>0.25280000000000002</v>
      </c>
      <c r="E481" s="122">
        <v>58.69</v>
      </c>
      <c r="F481" s="121">
        <v>25.28</v>
      </c>
      <c r="G481" s="123">
        <v>1440</v>
      </c>
      <c r="H481" s="123">
        <v>5</v>
      </c>
      <c r="I481" s="123">
        <v>200</v>
      </c>
      <c r="J481" s="121">
        <v>6</v>
      </c>
      <c r="K481" s="121">
        <v>823</v>
      </c>
      <c r="L481" s="120" t="s">
        <v>809</v>
      </c>
      <c r="M481" s="132" t="s">
        <v>810</v>
      </c>
    </row>
    <row r="482" spans="1:13" ht="15.6">
      <c r="A482" s="119" t="s">
        <v>813</v>
      </c>
      <c r="B482" s="120" t="s">
        <v>258</v>
      </c>
      <c r="C482" s="121">
        <v>42</v>
      </c>
      <c r="D482" s="121">
        <v>0.15820000000000001</v>
      </c>
      <c r="E482" s="122">
        <v>11.73</v>
      </c>
      <c r="F482" s="121">
        <v>79.099999999999994</v>
      </c>
      <c r="G482" s="123">
        <v>1440</v>
      </c>
      <c r="H482" s="123">
        <v>5</v>
      </c>
      <c r="I482" s="123">
        <v>200</v>
      </c>
      <c r="J482" s="121">
        <v>5</v>
      </c>
      <c r="K482" s="121">
        <v>973</v>
      </c>
      <c r="L482" s="120" t="s">
        <v>809</v>
      </c>
      <c r="M482" s="132" t="s">
        <v>810</v>
      </c>
    </row>
    <row r="483" spans="1:13" ht="15.6">
      <c r="A483" s="119" t="s">
        <v>808</v>
      </c>
      <c r="B483" s="120" t="s">
        <v>258</v>
      </c>
      <c r="C483" s="121">
        <v>20.100000000000001</v>
      </c>
      <c r="D483" s="121">
        <v>0.15770000000000001</v>
      </c>
      <c r="E483" s="122">
        <v>58.69</v>
      </c>
      <c r="F483" s="121">
        <v>15.77</v>
      </c>
      <c r="G483" s="123">
        <v>1440</v>
      </c>
      <c r="H483" s="123">
        <v>5</v>
      </c>
      <c r="I483" s="123">
        <v>200</v>
      </c>
      <c r="J483" s="121">
        <v>8</v>
      </c>
      <c r="K483" s="121">
        <v>823</v>
      </c>
      <c r="L483" s="120" t="s">
        <v>809</v>
      </c>
      <c r="M483" s="132" t="s">
        <v>810</v>
      </c>
    </row>
    <row r="484" spans="1:13" ht="15.6">
      <c r="A484" s="119" t="s">
        <v>813</v>
      </c>
      <c r="B484" s="120" t="s">
        <v>258</v>
      </c>
      <c r="C484" s="121">
        <v>42</v>
      </c>
      <c r="D484" s="121">
        <v>0.1835</v>
      </c>
      <c r="E484" s="122">
        <v>58.69</v>
      </c>
      <c r="F484" s="121">
        <v>18.350000000000001</v>
      </c>
      <c r="G484" s="123">
        <v>1440</v>
      </c>
      <c r="H484" s="123">
        <v>5</v>
      </c>
      <c r="I484" s="123">
        <v>200</v>
      </c>
      <c r="J484" s="121">
        <v>4</v>
      </c>
      <c r="K484" s="121">
        <v>973</v>
      </c>
      <c r="L484" s="120" t="s">
        <v>809</v>
      </c>
      <c r="M484" s="132" t="s">
        <v>810</v>
      </c>
    </row>
    <row r="485" spans="1:13" ht="15.6">
      <c r="A485" s="119" t="s">
        <v>808</v>
      </c>
      <c r="B485" s="120" t="s">
        <v>258</v>
      </c>
      <c r="C485" s="121">
        <v>20.100000000000001</v>
      </c>
      <c r="D485" s="121">
        <v>0.1089</v>
      </c>
      <c r="E485" s="122">
        <v>19.559999999999999</v>
      </c>
      <c r="F485" s="121">
        <v>32.67</v>
      </c>
      <c r="G485" s="123">
        <v>1440</v>
      </c>
      <c r="H485" s="123">
        <v>5</v>
      </c>
      <c r="I485" s="123">
        <v>200</v>
      </c>
      <c r="J485" s="121">
        <v>5</v>
      </c>
      <c r="K485" s="121">
        <v>823</v>
      </c>
      <c r="L485" s="120" t="s">
        <v>809</v>
      </c>
      <c r="M485" s="132" t="s">
        <v>810</v>
      </c>
    </row>
    <row r="486" spans="1:13" ht="15.6">
      <c r="A486" s="119" t="s">
        <v>811</v>
      </c>
      <c r="B486" s="120" t="s">
        <v>258</v>
      </c>
      <c r="C486" s="121">
        <v>23.2</v>
      </c>
      <c r="D486" s="121">
        <v>1</v>
      </c>
      <c r="E486" s="122">
        <v>58.69</v>
      </c>
      <c r="F486" s="121">
        <v>100</v>
      </c>
      <c r="G486" s="123">
        <v>1440</v>
      </c>
      <c r="H486" s="123">
        <v>5</v>
      </c>
      <c r="I486" s="123">
        <v>200</v>
      </c>
      <c r="J486" s="121">
        <v>10</v>
      </c>
      <c r="K486" s="121">
        <v>973</v>
      </c>
      <c r="L486" s="120" t="s">
        <v>809</v>
      </c>
      <c r="M486" s="132" t="s">
        <v>810</v>
      </c>
    </row>
    <row r="487" spans="1:13" ht="15.6">
      <c r="A487" s="119" t="s">
        <v>813</v>
      </c>
      <c r="B487" s="120" t="s">
        <v>258</v>
      </c>
      <c r="C487" s="121">
        <v>42</v>
      </c>
      <c r="D487" s="121">
        <v>0.1484</v>
      </c>
      <c r="E487" s="122">
        <v>9.7799999999999994</v>
      </c>
      <c r="F487" s="121">
        <v>89.02</v>
      </c>
      <c r="G487" s="123">
        <v>1440</v>
      </c>
      <c r="H487" s="123">
        <v>5</v>
      </c>
      <c r="I487" s="123">
        <v>200</v>
      </c>
      <c r="J487" s="121">
        <v>5</v>
      </c>
      <c r="K487" s="121">
        <v>973</v>
      </c>
      <c r="L487" s="120" t="s">
        <v>809</v>
      </c>
      <c r="M487" s="132" t="s">
        <v>810</v>
      </c>
    </row>
    <row r="488" spans="1:13" ht="15.6">
      <c r="A488" s="119" t="s">
        <v>808</v>
      </c>
      <c r="B488" s="120" t="s">
        <v>258</v>
      </c>
      <c r="C488" s="121">
        <v>20.100000000000001</v>
      </c>
      <c r="D488" s="121">
        <v>6.0299999999999999E-2</v>
      </c>
      <c r="E488" s="122">
        <v>58.69</v>
      </c>
      <c r="F488" s="121">
        <v>6.03</v>
      </c>
      <c r="G488" s="123">
        <v>1440</v>
      </c>
      <c r="H488" s="123">
        <v>5</v>
      </c>
      <c r="I488" s="123">
        <v>200</v>
      </c>
      <c r="J488" s="121">
        <v>2</v>
      </c>
      <c r="K488" s="121">
        <v>823</v>
      </c>
      <c r="L488" s="120" t="s">
        <v>809</v>
      </c>
      <c r="M488" s="132" t="s">
        <v>810</v>
      </c>
    </row>
    <row r="489" spans="1:13" ht="15.6">
      <c r="A489" s="119" t="s">
        <v>812</v>
      </c>
      <c r="B489" s="120" t="s">
        <v>258</v>
      </c>
      <c r="C489" s="121">
        <v>26.4</v>
      </c>
      <c r="D489" s="121">
        <v>0.23849999999999999</v>
      </c>
      <c r="E489" s="122">
        <v>58.69</v>
      </c>
      <c r="F489" s="121">
        <v>23.85</v>
      </c>
      <c r="G489" s="123">
        <v>1440</v>
      </c>
      <c r="H489" s="123">
        <v>5</v>
      </c>
      <c r="I489" s="123">
        <v>200</v>
      </c>
      <c r="J489" s="121">
        <v>5</v>
      </c>
      <c r="K489" s="121">
        <v>823</v>
      </c>
      <c r="L489" s="120" t="s">
        <v>809</v>
      </c>
      <c r="M489" s="132" t="s">
        <v>810</v>
      </c>
    </row>
    <row r="490" spans="1:13" ht="15.6">
      <c r="A490" s="119" t="s">
        <v>811</v>
      </c>
      <c r="B490" s="120" t="s">
        <v>258</v>
      </c>
      <c r="C490" s="121">
        <v>23.2</v>
      </c>
      <c r="D490" s="121">
        <v>0.38890000000000002</v>
      </c>
      <c r="E490" s="122">
        <v>58.69</v>
      </c>
      <c r="F490" s="121">
        <v>38.89</v>
      </c>
      <c r="G490" s="123">
        <v>1440</v>
      </c>
      <c r="H490" s="123">
        <v>5</v>
      </c>
      <c r="I490" s="123">
        <v>200</v>
      </c>
      <c r="J490" s="121">
        <v>6</v>
      </c>
      <c r="K490" s="121">
        <v>973</v>
      </c>
      <c r="L490" s="120" t="s">
        <v>809</v>
      </c>
      <c r="M490" s="132" t="s">
        <v>810</v>
      </c>
    </row>
    <row r="491" spans="1:13" ht="15.6">
      <c r="A491" s="119" t="s">
        <v>811</v>
      </c>
      <c r="B491" s="120" t="s">
        <v>258</v>
      </c>
      <c r="C491" s="121">
        <v>23.2</v>
      </c>
      <c r="D491" s="121">
        <v>0.99850000000000005</v>
      </c>
      <c r="E491" s="122">
        <v>58.69</v>
      </c>
      <c r="F491" s="121">
        <v>99.85</v>
      </c>
      <c r="G491" s="123">
        <v>1440</v>
      </c>
      <c r="H491" s="123">
        <v>5</v>
      </c>
      <c r="I491" s="123">
        <v>200</v>
      </c>
      <c r="J491" s="121">
        <v>9</v>
      </c>
      <c r="K491" s="121">
        <v>973</v>
      </c>
      <c r="L491" s="120" t="s">
        <v>809</v>
      </c>
      <c r="M491" s="132" t="s">
        <v>810</v>
      </c>
    </row>
    <row r="492" spans="1:13" ht="15.6">
      <c r="A492" s="119" t="s">
        <v>808</v>
      </c>
      <c r="B492" s="120" t="s">
        <v>258</v>
      </c>
      <c r="C492" s="121">
        <v>20.100000000000001</v>
      </c>
      <c r="D492" s="121">
        <v>0.1242</v>
      </c>
      <c r="E492" s="122">
        <v>58.69</v>
      </c>
      <c r="F492" s="121">
        <v>12.42</v>
      </c>
      <c r="G492" s="123">
        <v>1440</v>
      </c>
      <c r="H492" s="123">
        <v>5</v>
      </c>
      <c r="I492" s="123">
        <v>200</v>
      </c>
      <c r="J492" s="121">
        <v>5</v>
      </c>
      <c r="K492" s="121">
        <v>823</v>
      </c>
      <c r="L492" s="120" t="s">
        <v>809</v>
      </c>
      <c r="M492" s="132" t="s">
        <v>810</v>
      </c>
    </row>
    <row r="493" spans="1:13" ht="15.6">
      <c r="A493" s="119" t="s">
        <v>812</v>
      </c>
      <c r="B493" s="120" t="s">
        <v>258</v>
      </c>
      <c r="C493" s="121">
        <v>26.4</v>
      </c>
      <c r="D493" s="121">
        <v>0.1401</v>
      </c>
      <c r="E493" s="122">
        <v>8.3800000000000008</v>
      </c>
      <c r="F493" s="121">
        <v>98.04</v>
      </c>
      <c r="G493" s="123">
        <v>1440</v>
      </c>
      <c r="H493" s="123">
        <v>5</v>
      </c>
      <c r="I493" s="123">
        <v>200</v>
      </c>
      <c r="J493" s="121">
        <v>5</v>
      </c>
      <c r="K493" s="121">
        <v>823</v>
      </c>
      <c r="L493" s="120" t="s">
        <v>809</v>
      </c>
      <c r="M493" s="132" t="s">
        <v>810</v>
      </c>
    </row>
    <row r="494" spans="1:13" ht="15.6">
      <c r="A494" s="119" t="s">
        <v>812</v>
      </c>
      <c r="B494" s="120" t="s">
        <v>258</v>
      </c>
      <c r="C494" s="121">
        <v>26.4</v>
      </c>
      <c r="D494" s="121">
        <v>0.17169999999999999</v>
      </c>
      <c r="E494" s="122">
        <v>11.73</v>
      </c>
      <c r="F494" s="121">
        <v>85.85</v>
      </c>
      <c r="G494" s="123">
        <v>1440</v>
      </c>
      <c r="H494" s="123">
        <v>5</v>
      </c>
      <c r="I494" s="123">
        <v>200</v>
      </c>
      <c r="J494" s="121">
        <v>5</v>
      </c>
      <c r="K494" s="121">
        <v>823</v>
      </c>
      <c r="L494" s="120" t="s">
        <v>809</v>
      </c>
      <c r="M494" s="132" t="s">
        <v>810</v>
      </c>
    </row>
    <row r="495" spans="1:13" ht="15.6">
      <c r="A495" s="119" t="s">
        <v>814</v>
      </c>
      <c r="B495" s="120" t="s">
        <v>44</v>
      </c>
      <c r="C495" s="121">
        <v>198.11</v>
      </c>
      <c r="D495" s="121">
        <v>1.2</v>
      </c>
      <c r="E495" s="122">
        <v>400</v>
      </c>
      <c r="F495" s="121">
        <v>14.83</v>
      </c>
      <c r="G495" s="123">
        <v>1440</v>
      </c>
      <c r="H495" s="123">
        <v>50</v>
      </c>
      <c r="I495" s="123">
        <v>160</v>
      </c>
      <c r="J495" s="121">
        <v>5</v>
      </c>
      <c r="K495" s="121">
        <v>873</v>
      </c>
      <c r="L495" s="120" t="s">
        <v>815</v>
      </c>
      <c r="M495" s="133" t="s">
        <v>816</v>
      </c>
    </row>
    <row r="496" spans="1:13" ht="15.6">
      <c r="A496" s="119" t="s">
        <v>817</v>
      </c>
      <c r="B496" s="120" t="s">
        <v>44</v>
      </c>
      <c r="C496" s="121">
        <v>14.37</v>
      </c>
      <c r="D496" s="121">
        <v>1.64</v>
      </c>
      <c r="E496" s="122">
        <v>150</v>
      </c>
      <c r="F496" s="121">
        <v>54.89</v>
      </c>
      <c r="G496" s="123">
        <v>1440</v>
      </c>
      <c r="H496" s="123">
        <v>50</v>
      </c>
      <c r="I496" s="123">
        <v>160</v>
      </c>
      <c r="J496" s="121">
        <v>5</v>
      </c>
      <c r="K496" s="121">
        <v>873</v>
      </c>
      <c r="L496" s="120" t="s">
        <v>815</v>
      </c>
      <c r="M496" s="134" t="s">
        <v>818</v>
      </c>
    </row>
    <row r="497" spans="1:13" ht="15.6">
      <c r="A497" s="119" t="s">
        <v>814</v>
      </c>
      <c r="B497" s="120" t="s">
        <v>44</v>
      </c>
      <c r="C497" s="121">
        <v>198.11</v>
      </c>
      <c r="D497" s="121">
        <v>0.55000000000000004</v>
      </c>
      <c r="E497" s="122">
        <v>50</v>
      </c>
      <c r="F497" s="121">
        <v>55.94</v>
      </c>
      <c r="G497" s="123">
        <v>1440</v>
      </c>
      <c r="H497" s="123">
        <v>50</v>
      </c>
      <c r="I497" s="123">
        <v>160</v>
      </c>
      <c r="J497" s="121">
        <v>5</v>
      </c>
      <c r="K497" s="121">
        <v>873</v>
      </c>
      <c r="L497" s="120" t="s">
        <v>815</v>
      </c>
      <c r="M497" s="135" t="s">
        <v>819</v>
      </c>
    </row>
    <row r="498" spans="1:13" ht="15.6">
      <c r="A498" s="119" t="s">
        <v>817</v>
      </c>
      <c r="B498" s="120" t="s">
        <v>44</v>
      </c>
      <c r="C498" s="121">
        <v>14.37</v>
      </c>
      <c r="D498" s="121">
        <v>0.91500000000000004</v>
      </c>
      <c r="E498" s="122">
        <v>50</v>
      </c>
      <c r="F498" s="121">
        <v>91.5</v>
      </c>
      <c r="G498" s="123">
        <v>1440</v>
      </c>
      <c r="H498" s="123">
        <v>50</v>
      </c>
      <c r="I498" s="123">
        <v>160</v>
      </c>
      <c r="J498" s="121">
        <v>5</v>
      </c>
      <c r="K498" s="121">
        <v>873</v>
      </c>
      <c r="L498" s="120" t="s">
        <v>815</v>
      </c>
      <c r="M498" s="135" t="s">
        <v>820</v>
      </c>
    </row>
    <row r="499" spans="1:13" ht="15.6">
      <c r="A499" s="119" t="s">
        <v>817</v>
      </c>
      <c r="B499" s="120" t="s">
        <v>44</v>
      </c>
      <c r="C499" s="121">
        <v>14.37</v>
      </c>
      <c r="D499" s="121">
        <v>2.4590000000000001</v>
      </c>
      <c r="E499" s="122">
        <v>400</v>
      </c>
      <c r="F499" s="121">
        <v>30.73</v>
      </c>
      <c r="G499" s="123">
        <v>1440</v>
      </c>
      <c r="H499" s="123">
        <v>50</v>
      </c>
      <c r="I499" s="123">
        <v>160</v>
      </c>
      <c r="J499" s="121">
        <v>5</v>
      </c>
      <c r="K499" s="121">
        <v>873</v>
      </c>
      <c r="L499" s="120" t="s">
        <v>815</v>
      </c>
      <c r="M499" s="135" t="s">
        <v>821</v>
      </c>
    </row>
    <row r="500" spans="1:13" ht="15.6">
      <c r="A500" s="119" t="s">
        <v>814</v>
      </c>
      <c r="B500" s="120" t="s">
        <v>44</v>
      </c>
      <c r="C500" s="121">
        <v>198.11</v>
      </c>
      <c r="D500" s="121">
        <v>1.095</v>
      </c>
      <c r="E500" s="122">
        <v>300</v>
      </c>
      <c r="F500" s="121">
        <v>18.25</v>
      </c>
      <c r="G500" s="123">
        <v>1440</v>
      </c>
      <c r="H500" s="123">
        <v>50</v>
      </c>
      <c r="I500" s="123">
        <v>160</v>
      </c>
      <c r="J500" s="121">
        <v>5</v>
      </c>
      <c r="K500" s="121">
        <v>873</v>
      </c>
      <c r="L500" s="120" t="s">
        <v>815</v>
      </c>
      <c r="M500" s="135" t="s">
        <v>822</v>
      </c>
    </row>
    <row r="501" spans="1:13" ht="15.6">
      <c r="A501" s="119" t="s">
        <v>814</v>
      </c>
      <c r="B501" s="120" t="s">
        <v>44</v>
      </c>
      <c r="C501" s="121">
        <v>198.11</v>
      </c>
      <c r="D501" s="121">
        <v>0.96</v>
      </c>
      <c r="E501" s="122">
        <v>200</v>
      </c>
      <c r="F501" s="121">
        <v>24.01</v>
      </c>
      <c r="G501" s="123">
        <v>1440</v>
      </c>
      <c r="H501" s="123">
        <v>50</v>
      </c>
      <c r="I501" s="123">
        <v>160</v>
      </c>
      <c r="J501" s="121">
        <v>5</v>
      </c>
      <c r="K501" s="121">
        <v>873</v>
      </c>
      <c r="L501" s="120" t="s">
        <v>815</v>
      </c>
      <c r="M501" s="135" t="s">
        <v>823</v>
      </c>
    </row>
    <row r="502" spans="1:13" ht="15.6">
      <c r="A502" s="119" t="s">
        <v>817</v>
      </c>
      <c r="B502" s="120" t="s">
        <v>44</v>
      </c>
      <c r="C502" s="121">
        <v>14.37</v>
      </c>
      <c r="D502" s="121">
        <v>2.7010000000000001</v>
      </c>
      <c r="E502" s="122">
        <v>500</v>
      </c>
      <c r="F502" s="121">
        <v>27.01</v>
      </c>
      <c r="G502" s="123">
        <v>1440</v>
      </c>
      <c r="H502" s="123">
        <v>50</v>
      </c>
      <c r="I502" s="123">
        <v>160</v>
      </c>
      <c r="J502" s="121">
        <v>5</v>
      </c>
      <c r="K502" s="121">
        <v>873</v>
      </c>
      <c r="L502" s="120" t="s">
        <v>815</v>
      </c>
      <c r="M502" s="135" t="s">
        <v>824</v>
      </c>
    </row>
    <row r="503" spans="1:13" ht="15.6">
      <c r="A503" s="119" t="s">
        <v>817</v>
      </c>
      <c r="B503" s="120" t="s">
        <v>44</v>
      </c>
      <c r="C503" s="121">
        <v>14.37</v>
      </c>
      <c r="D503" s="121">
        <v>1.5680000000000001</v>
      </c>
      <c r="E503" s="122">
        <v>100</v>
      </c>
      <c r="F503" s="121">
        <v>78.42</v>
      </c>
      <c r="G503" s="123">
        <v>1440</v>
      </c>
      <c r="H503" s="123">
        <v>50</v>
      </c>
      <c r="I503" s="123">
        <v>160</v>
      </c>
      <c r="J503" s="121">
        <v>5</v>
      </c>
      <c r="K503" s="121">
        <v>873</v>
      </c>
      <c r="L503" s="120" t="s">
        <v>815</v>
      </c>
      <c r="M503" s="135" t="s">
        <v>825</v>
      </c>
    </row>
    <row r="504" spans="1:13" ht="15.6">
      <c r="A504" s="119" t="s">
        <v>814</v>
      </c>
      <c r="B504" s="120" t="s">
        <v>44</v>
      </c>
      <c r="C504" s="121">
        <v>198.11</v>
      </c>
      <c r="D504" s="121">
        <v>0.90100000000000002</v>
      </c>
      <c r="E504" s="122">
        <v>150</v>
      </c>
      <c r="F504" s="121">
        <v>30.045000000000002</v>
      </c>
      <c r="G504" s="123">
        <v>1440</v>
      </c>
      <c r="H504" s="123">
        <v>50</v>
      </c>
      <c r="I504" s="123">
        <v>160</v>
      </c>
      <c r="J504" s="121">
        <v>5</v>
      </c>
      <c r="K504" s="121">
        <v>873</v>
      </c>
      <c r="L504" s="120" t="s">
        <v>815</v>
      </c>
      <c r="M504" s="135" t="s">
        <v>826</v>
      </c>
    </row>
    <row r="505" spans="1:13" ht="15.6">
      <c r="A505" s="119" t="s">
        <v>814</v>
      </c>
      <c r="B505" s="120" t="s">
        <v>44</v>
      </c>
      <c r="C505" s="121">
        <v>198.11</v>
      </c>
      <c r="D505" s="121">
        <v>0.73</v>
      </c>
      <c r="E505" s="122">
        <v>100</v>
      </c>
      <c r="F505" s="121">
        <v>36.729999999999997</v>
      </c>
      <c r="G505" s="123">
        <v>1440</v>
      </c>
      <c r="H505" s="123">
        <v>50</v>
      </c>
      <c r="I505" s="123">
        <v>160</v>
      </c>
      <c r="J505" s="121">
        <v>5</v>
      </c>
      <c r="K505" s="121">
        <v>873</v>
      </c>
      <c r="L505" s="120" t="s">
        <v>815</v>
      </c>
      <c r="M505" s="135" t="s">
        <v>827</v>
      </c>
    </row>
    <row r="506" spans="1:13" ht="15.6">
      <c r="A506" s="119" t="s">
        <v>817</v>
      </c>
      <c r="B506" s="120" t="s">
        <v>44</v>
      </c>
      <c r="C506" s="121">
        <v>14.37</v>
      </c>
      <c r="D506" s="121">
        <v>2.17</v>
      </c>
      <c r="E506" s="122">
        <v>300</v>
      </c>
      <c r="F506" s="121">
        <v>36.24</v>
      </c>
      <c r="G506" s="123">
        <v>1440</v>
      </c>
      <c r="H506" s="123">
        <v>50</v>
      </c>
      <c r="I506" s="123">
        <v>160</v>
      </c>
      <c r="J506" s="121">
        <v>5</v>
      </c>
      <c r="K506" s="121">
        <v>873</v>
      </c>
      <c r="L506" s="120" t="s">
        <v>815</v>
      </c>
      <c r="M506" s="135" t="s">
        <v>828</v>
      </c>
    </row>
    <row r="507" spans="1:13" ht="15.6">
      <c r="A507" s="119" t="s">
        <v>814</v>
      </c>
      <c r="B507" s="120" t="s">
        <v>44</v>
      </c>
      <c r="C507" s="121">
        <v>198.11</v>
      </c>
      <c r="D507" s="121">
        <v>1.26</v>
      </c>
      <c r="E507" s="122">
        <v>500</v>
      </c>
      <c r="F507" s="121">
        <v>12.6</v>
      </c>
      <c r="G507" s="123">
        <v>1440</v>
      </c>
      <c r="H507" s="123">
        <v>50</v>
      </c>
      <c r="I507" s="123">
        <v>160</v>
      </c>
      <c r="J507" s="121">
        <v>5</v>
      </c>
      <c r="K507" s="121">
        <v>873</v>
      </c>
      <c r="L507" s="120" t="s">
        <v>815</v>
      </c>
      <c r="M507" s="135" t="s">
        <v>829</v>
      </c>
    </row>
    <row r="508" spans="1:13" ht="15.6">
      <c r="A508" s="119" t="s">
        <v>817</v>
      </c>
      <c r="B508" s="120" t="s">
        <v>44</v>
      </c>
      <c r="C508" s="121">
        <v>14.37</v>
      </c>
      <c r="D508" s="121">
        <v>1.84</v>
      </c>
      <c r="E508" s="122">
        <v>200</v>
      </c>
      <c r="F508" s="121">
        <v>46.13</v>
      </c>
      <c r="G508" s="123">
        <v>1440</v>
      </c>
      <c r="H508" s="123">
        <v>50</v>
      </c>
      <c r="I508" s="123">
        <v>160</v>
      </c>
      <c r="J508" s="121">
        <v>5</v>
      </c>
      <c r="K508" s="121">
        <v>873</v>
      </c>
      <c r="L508" s="120" t="s">
        <v>815</v>
      </c>
      <c r="M508" s="135" t="s">
        <v>830</v>
      </c>
    </row>
    <row r="509" spans="1:13" ht="15.6">
      <c r="A509" s="119" t="s">
        <v>804</v>
      </c>
      <c r="B509" s="120" t="s">
        <v>44</v>
      </c>
      <c r="C509" s="121">
        <v>72</v>
      </c>
      <c r="D509" s="121">
        <v>11.33</v>
      </c>
      <c r="E509" s="122">
        <v>62.49</v>
      </c>
      <c r="F509" s="121">
        <v>99.8</v>
      </c>
      <c r="G509" s="123">
        <v>1470</v>
      </c>
      <c r="H509" s="123">
        <v>5.5</v>
      </c>
      <c r="I509" s="123">
        <v>250</v>
      </c>
      <c r="J509" s="121">
        <v>5</v>
      </c>
      <c r="K509" s="121">
        <v>873</v>
      </c>
      <c r="L509" s="120" t="s">
        <v>802</v>
      </c>
      <c r="M509" s="133" t="s">
        <v>831</v>
      </c>
    </row>
    <row r="510" spans="1:13" ht="15.6">
      <c r="A510" s="119" t="s">
        <v>805</v>
      </c>
      <c r="B510" s="120" t="s">
        <v>44</v>
      </c>
      <c r="C510" s="121">
        <v>77</v>
      </c>
      <c r="D510" s="121">
        <v>17.43</v>
      </c>
      <c r="E510" s="122">
        <v>99.99</v>
      </c>
      <c r="F510" s="121">
        <v>95.89</v>
      </c>
      <c r="G510" s="123">
        <v>1470</v>
      </c>
      <c r="H510" s="123">
        <v>5.5</v>
      </c>
      <c r="I510" s="123">
        <v>250</v>
      </c>
      <c r="J510" s="121">
        <v>5</v>
      </c>
      <c r="K510" s="121">
        <v>873</v>
      </c>
      <c r="L510" s="120" t="s">
        <v>802</v>
      </c>
      <c r="M510" s="135" t="s">
        <v>832</v>
      </c>
    </row>
    <row r="511" spans="1:13" ht="15.6">
      <c r="A511" s="119" t="s">
        <v>807</v>
      </c>
      <c r="B511" s="120" t="s">
        <v>44</v>
      </c>
      <c r="C511" s="121">
        <v>465</v>
      </c>
      <c r="D511" s="121">
        <v>2.44</v>
      </c>
      <c r="E511" s="122">
        <v>13.15</v>
      </c>
      <c r="F511" s="121">
        <v>99.68</v>
      </c>
      <c r="G511" s="123">
        <v>1470</v>
      </c>
      <c r="H511" s="123">
        <v>5.5</v>
      </c>
      <c r="I511" s="123">
        <v>250</v>
      </c>
      <c r="J511" s="121">
        <v>5</v>
      </c>
      <c r="K511" s="121">
        <v>873</v>
      </c>
      <c r="L511" s="120" t="s">
        <v>802</v>
      </c>
      <c r="M511" s="135" t="s">
        <v>833</v>
      </c>
    </row>
    <row r="512" spans="1:13" ht="15.6">
      <c r="A512" s="119" t="s">
        <v>806</v>
      </c>
      <c r="B512" s="120" t="s">
        <v>44</v>
      </c>
      <c r="C512" s="121">
        <v>364</v>
      </c>
      <c r="D512" s="121">
        <v>18.100000000000001</v>
      </c>
      <c r="E512" s="122">
        <v>99.99</v>
      </c>
      <c r="F512" s="121">
        <v>100</v>
      </c>
      <c r="G512" s="123">
        <v>1470</v>
      </c>
      <c r="H512" s="123">
        <v>5.5</v>
      </c>
      <c r="I512" s="123">
        <v>250</v>
      </c>
      <c r="J512" s="121">
        <v>5</v>
      </c>
      <c r="K512" s="121">
        <v>873</v>
      </c>
      <c r="L512" s="120" t="s">
        <v>802</v>
      </c>
      <c r="M512" s="135" t="s">
        <v>834</v>
      </c>
    </row>
    <row r="513" spans="1:13" ht="15.6">
      <c r="A513" s="119" t="s">
        <v>801</v>
      </c>
      <c r="B513" s="120" t="s">
        <v>44</v>
      </c>
      <c r="C513" s="121">
        <v>443</v>
      </c>
      <c r="D513" s="121">
        <v>2.2669999999999999</v>
      </c>
      <c r="E513" s="122">
        <v>12.49</v>
      </c>
      <c r="F513" s="121">
        <v>99.83</v>
      </c>
      <c r="G513" s="123">
        <v>1470</v>
      </c>
      <c r="H513" s="123">
        <v>5.5</v>
      </c>
      <c r="I513" s="123">
        <v>250</v>
      </c>
      <c r="J513" s="121">
        <v>5</v>
      </c>
      <c r="K513" s="121">
        <v>873</v>
      </c>
      <c r="L513" s="120" t="s">
        <v>802</v>
      </c>
      <c r="M513" s="135" t="s">
        <v>835</v>
      </c>
    </row>
    <row r="514" spans="1:13" ht="15.6">
      <c r="A514" s="119" t="s">
        <v>677</v>
      </c>
      <c r="B514" s="120" t="s">
        <v>44</v>
      </c>
      <c r="C514" s="121">
        <v>11.4</v>
      </c>
      <c r="D514" s="121">
        <v>1.89</v>
      </c>
      <c r="E514" s="122">
        <v>0.99456</v>
      </c>
      <c r="F514" s="121">
        <v>100</v>
      </c>
      <c r="G514" s="123">
        <v>2160</v>
      </c>
      <c r="H514" s="123">
        <v>5</v>
      </c>
      <c r="I514" s="123">
        <v>150</v>
      </c>
      <c r="J514" s="121">
        <v>5.5</v>
      </c>
      <c r="K514" s="121">
        <v>623</v>
      </c>
      <c r="L514" s="120" t="s">
        <v>675</v>
      </c>
      <c r="M514" s="136" t="s">
        <v>676</v>
      </c>
    </row>
    <row r="515" spans="1:13" ht="15.6">
      <c r="A515" s="119" t="s">
        <v>677</v>
      </c>
      <c r="B515" s="120" t="s">
        <v>44</v>
      </c>
      <c r="C515" s="121">
        <v>11.4</v>
      </c>
      <c r="D515" s="121">
        <v>1.89</v>
      </c>
      <c r="E515" s="122">
        <v>0.80808000000000002</v>
      </c>
      <c r="F515" s="121">
        <v>97.43</v>
      </c>
      <c r="G515" s="123">
        <v>2160</v>
      </c>
      <c r="H515" s="123">
        <v>5</v>
      </c>
      <c r="I515" s="123">
        <v>150</v>
      </c>
      <c r="J515" s="121">
        <v>5.5</v>
      </c>
      <c r="K515" s="121">
        <v>623</v>
      </c>
      <c r="L515" s="120" t="s">
        <v>675</v>
      </c>
      <c r="M515" s="137" t="s">
        <v>678</v>
      </c>
    </row>
    <row r="516" spans="1:13" ht="15.6">
      <c r="A516" s="119" t="s">
        <v>677</v>
      </c>
      <c r="B516" s="120" t="s">
        <v>44</v>
      </c>
      <c r="C516" s="121">
        <v>11.4</v>
      </c>
      <c r="D516" s="121">
        <v>1.89</v>
      </c>
      <c r="E516" s="122">
        <v>0.60087999999999997</v>
      </c>
      <c r="F516" s="121">
        <v>100</v>
      </c>
      <c r="G516" s="123">
        <v>2160</v>
      </c>
      <c r="H516" s="123">
        <v>5</v>
      </c>
      <c r="I516" s="123">
        <v>150</v>
      </c>
      <c r="J516" s="121">
        <v>5.5</v>
      </c>
      <c r="K516" s="121">
        <v>623</v>
      </c>
      <c r="L516" s="120" t="s">
        <v>675</v>
      </c>
      <c r="M516" s="137" t="s">
        <v>679</v>
      </c>
    </row>
    <row r="517" spans="1:13" ht="15.6">
      <c r="A517" s="119" t="s">
        <v>680</v>
      </c>
      <c r="B517" s="120" t="s">
        <v>44</v>
      </c>
      <c r="C517" s="121">
        <v>10.72</v>
      </c>
      <c r="D517" s="121">
        <v>1.375</v>
      </c>
      <c r="E517" s="122">
        <v>0.80808000000000002</v>
      </c>
      <c r="F517" s="121">
        <v>97.43</v>
      </c>
      <c r="G517" s="123">
        <v>2160</v>
      </c>
      <c r="H517" s="123">
        <v>5</v>
      </c>
      <c r="I517" s="123">
        <v>150</v>
      </c>
      <c r="J517" s="121">
        <v>5.5</v>
      </c>
      <c r="K517" s="121">
        <v>723</v>
      </c>
      <c r="L517" s="120" t="s">
        <v>675</v>
      </c>
      <c r="M517" s="137" t="s">
        <v>681</v>
      </c>
    </row>
    <row r="518" spans="1:13" ht="15.6">
      <c r="A518" s="119" t="s">
        <v>680</v>
      </c>
      <c r="B518" s="120" t="s">
        <v>44</v>
      </c>
      <c r="C518" s="121">
        <v>10.72</v>
      </c>
      <c r="D518" s="121">
        <v>1.375</v>
      </c>
      <c r="E518" s="122">
        <v>0.60087999999999997</v>
      </c>
      <c r="F518" s="121">
        <v>100</v>
      </c>
      <c r="G518" s="123">
        <v>2160</v>
      </c>
      <c r="H518" s="123">
        <v>5</v>
      </c>
      <c r="I518" s="123">
        <v>150</v>
      </c>
      <c r="J518" s="121">
        <v>5.5</v>
      </c>
      <c r="K518" s="121">
        <v>723</v>
      </c>
      <c r="L518" s="120" t="s">
        <v>675</v>
      </c>
      <c r="M518" s="137" t="s">
        <v>682</v>
      </c>
    </row>
    <row r="519" spans="1:13" ht="15.6">
      <c r="A519" s="119" t="s">
        <v>680</v>
      </c>
      <c r="B519" s="120" t="s">
        <v>44</v>
      </c>
      <c r="C519" s="121">
        <v>10.72</v>
      </c>
      <c r="D519" s="121">
        <v>1.375</v>
      </c>
      <c r="E519" s="122">
        <v>0.99456</v>
      </c>
      <c r="F519" s="121">
        <v>100</v>
      </c>
      <c r="G519" s="123">
        <v>2160</v>
      </c>
      <c r="H519" s="123">
        <v>5</v>
      </c>
      <c r="I519" s="123">
        <v>150</v>
      </c>
      <c r="J519" s="121">
        <v>5.5</v>
      </c>
      <c r="K519" s="121">
        <v>723</v>
      </c>
      <c r="L519" s="120" t="s">
        <v>675</v>
      </c>
      <c r="M519" s="137" t="s">
        <v>683</v>
      </c>
    </row>
    <row r="520" spans="1:13" ht="15.6">
      <c r="A520" s="119" t="s">
        <v>684</v>
      </c>
      <c r="B520" s="120" t="s">
        <v>44</v>
      </c>
      <c r="C520" s="121">
        <v>17.02</v>
      </c>
      <c r="D520" s="121">
        <v>1.92</v>
      </c>
      <c r="E520" s="122">
        <v>0.80808000000000002</v>
      </c>
      <c r="F520" s="121">
        <v>100</v>
      </c>
      <c r="G520" s="123">
        <v>2160</v>
      </c>
      <c r="H520" s="123">
        <v>5</v>
      </c>
      <c r="I520" s="123">
        <v>150</v>
      </c>
      <c r="J520" s="121">
        <v>5.5</v>
      </c>
      <c r="K520" s="121">
        <v>823</v>
      </c>
      <c r="L520" s="120" t="s">
        <v>675</v>
      </c>
      <c r="M520" s="137" t="s">
        <v>685</v>
      </c>
    </row>
    <row r="521" spans="1:13" ht="15.6">
      <c r="A521" s="119" t="s">
        <v>684</v>
      </c>
      <c r="B521" s="120" t="s">
        <v>44</v>
      </c>
      <c r="C521" s="121">
        <v>17.02</v>
      </c>
      <c r="D521" s="121">
        <v>1.92</v>
      </c>
      <c r="E521" s="122">
        <v>0.99456</v>
      </c>
      <c r="F521" s="121">
        <v>100</v>
      </c>
      <c r="G521" s="123">
        <v>2160</v>
      </c>
      <c r="H521" s="123">
        <v>5</v>
      </c>
      <c r="I521" s="123">
        <v>150</v>
      </c>
      <c r="J521" s="121">
        <v>5.5</v>
      </c>
      <c r="K521" s="121">
        <v>823</v>
      </c>
      <c r="L521" s="120" t="s">
        <v>675</v>
      </c>
      <c r="M521" s="137" t="s">
        <v>686</v>
      </c>
    </row>
    <row r="522" spans="1:13" ht="15.6">
      <c r="A522" s="119" t="s">
        <v>684</v>
      </c>
      <c r="B522" s="120" t="s">
        <v>44</v>
      </c>
      <c r="C522" s="121">
        <v>17.02</v>
      </c>
      <c r="D522" s="121">
        <v>1.92</v>
      </c>
      <c r="E522" s="122">
        <v>0.60087999999999997</v>
      </c>
      <c r="F522" s="121">
        <v>100</v>
      </c>
      <c r="G522" s="123">
        <v>2160</v>
      </c>
      <c r="H522" s="123">
        <v>5</v>
      </c>
      <c r="I522" s="123">
        <v>150</v>
      </c>
      <c r="J522" s="121">
        <v>5.5</v>
      </c>
      <c r="K522" s="121">
        <v>823</v>
      </c>
      <c r="L522" s="120" t="s">
        <v>675</v>
      </c>
      <c r="M522" s="137" t="s">
        <v>687</v>
      </c>
    </row>
    <row r="523" spans="1:13" ht="15.6">
      <c r="A523" s="119" t="s">
        <v>688</v>
      </c>
      <c r="B523" s="120" t="s">
        <v>44</v>
      </c>
      <c r="C523" s="121">
        <v>17.8</v>
      </c>
      <c r="D523" s="121">
        <v>1.34</v>
      </c>
      <c r="E523" s="122">
        <v>0.60087999999999997</v>
      </c>
      <c r="F523" s="121">
        <v>100</v>
      </c>
      <c r="G523" s="123">
        <v>2160</v>
      </c>
      <c r="H523" s="123">
        <v>5</v>
      </c>
      <c r="I523" s="123">
        <v>150</v>
      </c>
      <c r="J523" s="121">
        <v>5.5</v>
      </c>
      <c r="K523" s="121">
        <v>923</v>
      </c>
      <c r="L523" s="120" t="s">
        <v>675</v>
      </c>
      <c r="M523" s="137" t="s">
        <v>689</v>
      </c>
    </row>
    <row r="524" spans="1:13" ht="15.6">
      <c r="A524" s="119" t="s">
        <v>688</v>
      </c>
      <c r="B524" s="120" t="s">
        <v>44</v>
      </c>
      <c r="C524" s="121">
        <v>17.8</v>
      </c>
      <c r="D524" s="121">
        <v>1.34</v>
      </c>
      <c r="E524" s="122">
        <v>0.99456</v>
      </c>
      <c r="F524" s="121">
        <v>100</v>
      </c>
      <c r="G524" s="123">
        <v>2160</v>
      </c>
      <c r="H524" s="123">
        <v>5</v>
      </c>
      <c r="I524" s="123">
        <v>150</v>
      </c>
      <c r="J524" s="121">
        <v>5.5</v>
      </c>
      <c r="K524" s="121">
        <v>923</v>
      </c>
      <c r="L524" s="120" t="s">
        <v>675</v>
      </c>
      <c r="M524" s="137" t="s">
        <v>690</v>
      </c>
    </row>
    <row r="525" spans="1:13" ht="15.6">
      <c r="A525" s="119" t="s">
        <v>688</v>
      </c>
      <c r="B525" s="120" t="s">
        <v>44</v>
      </c>
      <c r="C525" s="121">
        <v>17.8</v>
      </c>
      <c r="D525" s="121">
        <v>1.34</v>
      </c>
      <c r="E525" s="122">
        <v>0.80808000000000002</v>
      </c>
      <c r="F525" s="121">
        <v>100</v>
      </c>
      <c r="G525" s="123">
        <v>2160</v>
      </c>
      <c r="H525" s="123">
        <v>5</v>
      </c>
      <c r="I525" s="123">
        <v>150</v>
      </c>
      <c r="J525" s="121">
        <v>5.5</v>
      </c>
      <c r="K525" s="121">
        <v>923</v>
      </c>
      <c r="L525" s="120" t="s">
        <v>675</v>
      </c>
      <c r="M525" s="137" t="s">
        <v>691</v>
      </c>
    </row>
    <row r="526" spans="1:13" ht="15.6">
      <c r="A526" s="119" t="s">
        <v>692</v>
      </c>
      <c r="B526" s="120" t="s">
        <v>44</v>
      </c>
      <c r="C526" s="121">
        <v>12.44</v>
      </c>
      <c r="D526" s="121">
        <v>1.05</v>
      </c>
      <c r="E526" s="122">
        <v>0.60087999999999997</v>
      </c>
      <c r="F526" s="121">
        <v>100</v>
      </c>
      <c r="G526" s="123">
        <v>2160</v>
      </c>
      <c r="H526" s="123">
        <v>5</v>
      </c>
      <c r="I526" s="123">
        <v>150</v>
      </c>
      <c r="J526" s="121">
        <v>5.5</v>
      </c>
      <c r="K526" s="121">
        <v>623</v>
      </c>
      <c r="L526" s="120" t="s">
        <v>675</v>
      </c>
      <c r="M526" s="137" t="s">
        <v>836</v>
      </c>
    </row>
    <row r="527" spans="1:13" ht="15.6">
      <c r="A527" s="119" t="s">
        <v>692</v>
      </c>
      <c r="B527" s="120" t="s">
        <v>44</v>
      </c>
      <c r="C527" s="121">
        <v>12.44</v>
      </c>
      <c r="D527" s="121">
        <v>1.05</v>
      </c>
      <c r="E527" s="122">
        <v>0.80808000000000002</v>
      </c>
      <c r="F527" s="121">
        <v>97.43</v>
      </c>
      <c r="G527" s="123">
        <v>2160</v>
      </c>
      <c r="H527" s="123">
        <v>5</v>
      </c>
      <c r="I527" s="123">
        <v>150</v>
      </c>
      <c r="J527" s="121">
        <v>5.5</v>
      </c>
      <c r="K527" s="121">
        <v>623</v>
      </c>
      <c r="L527" s="120" t="s">
        <v>675</v>
      </c>
      <c r="M527" s="137" t="s">
        <v>837</v>
      </c>
    </row>
    <row r="528" spans="1:13" ht="15.6">
      <c r="A528" s="119" t="s">
        <v>692</v>
      </c>
      <c r="B528" s="120" t="s">
        <v>44</v>
      </c>
      <c r="C528" s="121">
        <v>12.44</v>
      </c>
      <c r="D528" s="121">
        <v>1.05</v>
      </c>
      <c r="E528" s="122">
        <v>0.99456</v>
      </c>
      <c r="F528" s="121">
        <v>100</v>
      </c>
      <c r="G528" s="123">
        <v>2160</v>
      </c>
      <c r="H528" s="123">
        <v>5</v>
      </c>
      <c r="I528" s="123">
        <v>150</v>
      </c>
      <c r="J528" s="121">
        <v>5.5</v>
      </c>
      <c r="K528" s="121">
        <v>623</v>
      </c>
      <c r="L528" s="120" t="s">
        <v>675</v>
      </c>
      <c r="M528" s="137" t="s">
        <v>838</v>
      </c>
    </row>
    <row r="529" spans="1:13" ht="15.6">
      <c r="A529" s="119" t="s">
        <v>696</v>
      </c>
      <c r="B529" s="120" t="s">
        <v>44</v>
      </c>
      <c r="C529" s="121">
        <v>14.42</v>
      </c>
      <c r="D529" s="121">
        <v>1.59</v>
      </c>
      <c r="E529" s="122">
        <v>0.60087999999999997</v>
      </c>
      <c r="F529" s="121">
        <v>100</v>
      </c>
      <c r="G529" s="123">
        <v>2160</v>
      </c>
      <c r="H529" s="123">
        <v>5</v>
      </c>
      <c r="I529" s="123">
        <v>150</v>
      </c>
      <c r="J529" s="121">
        <v>5.5</v>
      </c>
      <c r="K529" s="121">
        <v>723</v>
      </c>
      <c r="L529" s="120" t="s">
        <v>675</v>
      </c>
      <c r="M529" s="137" t="s">
        <v>839</v>
      </c>
    </row>
    <row r="530" spans="1:13" ht="15.6">
      <c r="A530" s="119" t="s">
        <v>696</v>
      </c>
      <c r="B530" s="120" t="s">
        <v>44</v>
      </c>
      <c r="C530" s="121">
        <v>14.42</v>
      </c>
      <c r="D530" s="121">
        <v>1.59</v>
      </c>
      <c r="E530" s="122">
        <v>0.80808000000000002</v>
      </c>
      <c r="F530" s="121">
        <v>97.43</v>
      </c>
      <c r="G530" s="123">
        <v>2160</v>
      </c>
      <c r="H530" s="123">
        <v>5</v>
      </c>
      <c r="I530" s="123">
        <v>150</v>
      </c>
      <c r="J530" s="121">
        <v>5.5</v>
      </c>
      <c r="K530" s="121">
        <v>723</v>
      </c>
      <c r="L530" s="120" t="s">
        <v>675</v>
      </c>
      <c r="M530" s="137" t="s">
        <v>840</v>
      </c>
    </row>
    <row r="531" spans="1:13" ht="15.6">
      <c r="A531" s="119" t="s">
        <v>696</v>
      </c>
      <c r="B531" s="120" t="s">
        <v>44</v>
      </c>
      <c r="C531" s="121">
        <v>14.42</v>
      </c>
      <c r="D531" s="121">
        <v>1.59</v>
      </c>
      <c r="E531" s="122">
        <v>0.99456</v>
      </c>
      <c r="F531" s="121">
        <v>100</v>
      </c>
      <c r="G531" s="123">
        <v>2160</v>
      </c>
      <c r="H531" s="123">
        <v>5</v>
      </c>
      <c r="I531" s="123">
        <v>150</v>
      </c>
      <c r="J531" s="121">
        <v>5.5</v>
      </c>
      <c r="K531" s="121">
        <v>723</v>
      </c>
      <c r="L531" s="120" t="s">
        <v>675</v>
      </c>
      <c r="M531" s="137" t="s">
        <v>841</v>
      </c>
    </row>
    <row r="532" spans="1:13" ht="15.6">
      <c r="A532" s="119" t="s">
        <v>699</v>
      </c>
      <c r="B532" s="120" t="s">
        <v>44</v>
      </c>
      <c r="C532" s="121">
        <v>37.11</v>
      </c>
      <c r="D532" s="121">
        <v>1.37</v>
      </c>
      <c r="E532" s="122">
        <v>0.60087999999999997</v>
      </c>
      <c r="F532" s="121">
        <v>96.55</v>
      </c>
      <c r="G532" s="123">
        <v>2160</v>
      </c>
      <c r="H532" s="123">
        <v>5</v>
      </c>
      <c r="I532" s="123">
        <v>150</v>
      </c>
      <c r="J532" s="121">
        <v>5.5</v>
      </c>
      <c r="K532" s="121">
        <v>823</v>
      </c>
      <c r="L532" s="120" t="s">
        <v>675</v>
      </c>
      <c r="M532" s="137" t="s">
        <v>842</v>
      </c>
    </row>
    <row r="533" spans="1:13" ht="15.6">
      <c r="A533" s="119" t="s">
        <v>699</v>
      </c>
      <c r="B533" s="120" t="s">
        <v>44</v>
      </c>
      <c r="C533" s="121">
        <v>37.11</v>
      </c>
      <c r="D533" s="121">
        <v>1.37</v>
      </c>
      <c r="E533" s="122">
        <v>0.99456</v>
      </c>
      <c r="F533" s="121">
        <v>95.83</v>
      </c>
      <c r="G533" s="123">
        <v>2160</v>
      </c>
      <c r="H533" s="123">
        <v>5</v>
      </c>
      <c r="I533" s="123">
        <v>150</v>
      </c>
      <c r="J533" s="121">
        <v>5.5</v>
      </c>
      <c r="K533" s="121">
        <v>823</v>
      </c>
      <c r="L533" s="120" t="s">
        <v>675</v>
      </c>
      <c r="M533" s="137" t="s">
        <v>843</v>
      </c>
    </row>
    <row r="534" spans="1:13" ht="15.6">
      <c r="A534" s="119" t="s">
        <v>699</v>
      </c>
      <c r="B534" s="120" t="s">
        <v>44</v>
      </c>
      <c r="C534" s="121">
        <v>37.11</v>
      </c>
      <c r="D534" s="121">
        <v>1.37</v>
      </c>
      <c r="E534" s="122">
        <v>0.80808000000000002</v>
      </c>
      <c r="F534" s="121">
        <v>97.43</v>
      </c>
      <c r="G534" s="123">
        <v>2160</v>
      </c>
      <c r="H534" s="123">
        <v>5</v>
      </c>
      <c r="I534" s="123">
        <v>150</v>
      </c>
      <c r="J534" s="121">
        <v>5.5</v>
      </c>
      <c r="K534" s="121">
        <v>823</v>
      </c>
      <c r="L534" s="120" t="s">
        <v>675</v>
      </c>
      <c r="M534" s="137" t="s">
        <v>844</v>
      </c>
    </row>
    <row r="535" spans="1:13" ht="15.6">
      <c r="A535" s="119" t="s">
        <v>703</v>
      </c>
      <c r="B535" s="120" t="s">
        <v>44</v>
      </c>
      <c r="C535" s="121">
        <v>47.63</v>
      </c>
      <c r="D535" s="121">
        <v>1.52</v>
      </c>
      <c r="E535" s="122">
        <v>0.99456</v>
      </c>
      <c r="F535" s="121">
        <v>97.91</v>
      </c>
      <c r="G535" s="123">
        <v>2160</v>
      </c>
      <c r="H535" s="123">
        <v>5</v>
      </c>
      <c r="I535" s="123">
        <v>150</v>
      </c>
      <c r="J535" s="121">
        <v>5.5</v>
      </c>
      <c r="K535" s="121">
        <v>923</v>
      </c>
      <c r="L535" s="120" t="s">
        <v>675</v>
      </c>
      <c r="M535" s="137" t="s">
        <v>845</v>
      </c>
    </row>
    <row r="536" spans="1:13" ht="15.6">
      <c r="A536" s="119" t="s">
        <v>703</v>
      </c>
      <c r="B536" s="120" t="s">
        <v>44</v>
      </c>
      <c r="C536" s="121">
        <v>47.63</v>
      </c>
      <c r="D536" s="121">
        <v>1.52</v>
      </c>
      <c r="E536" s="122">
        <v>0.60087999999999997</v>
      </c>
      <c r="F536" s="121">
        <v>100</v>
      </c>
      <c r="G536" s="123">
        <v>2160</v>
      </c>
      <c r="H536" s="123">
        <v>5</v>
      </c>
      <c r="I536" s="123">
        <v>150</v>
      </c>
      <c r="J536" s="121">
        <v>5.5</v>
      </c>
      <c r="K536" s="121">
        <v>923</v>
      </c>
      <c r="L536" s="120" t="s">
        <v>675</v>
      </c>
      <c r="M536" s="137" t="s">
        <v>846</v>
      </c>
    </row>
    <row r="537" spans="1:13" ht="15.6">
      <c r="A537" s="119" t="s">
        <v>703</v>
      </c>
      <c r="B537" s="120" t="s">
        <v>44</v>
      </c>
      <c r="C537" s="121">
        <v>47.63</v>
      </c>
      <c r="D537" s="121">
        <v>1.52</v>
      </c>
      <c r="E537" s="122">
        <v>0.80808000000000002</v>
      </c>
      <c r="F537" s="121">
        <v>97.43</v>
      </c>
      <c r="G537" s="123">
        <v>2160</v>
      </c>
      <c r="H537" s="123">
        <v>5</v>
      </c>
      <c r="I537" s="123">
        <v>150</v>
      </c>
      <c r="J537" s="121">
        <v>5.5</v>
      </c>
      <c r="K537" s="121">
        <v>923</v>
      </c>
      <c r="L537" s="120" t="s">
        <v>675</v>
      </c>
      <c r="M537" s="137" t="s">
        <v>847</v>
      </c>
    </row>
    <row r="538" spans="1:13" ht="15.6">
      <c r="A538" s="119" t="s">
        <v>707</v>
      </c>
      <c r="B538" s="120" t="s">
        <v>44</v>
      </c>
      <c r="C538" s="121">
        <v>58.03</v>
      </c>
      <c r="D538" s="121">
        <v>2.4700000000000002</v>
      </c>
      <c r="E538" s="122">
        <v>0.80808000000000002</v>
      </c>
      <c r="F538" s="121">
        <v>100</v>
      </c>
      <c r="G538" s="123">
        <v>2160</v>
      </c>
      <c r="H538" s="123">
        <v>5</v>
      </c>
      <c r="I538" s="123">
        <v>150</v>
      </c>
      <c r="J538" s="121">
        <v>5.5</v>
      </c>
      <c r="K538" s="121">
        <v>823</v>
      </c>
      <c r="L538" s="120" t="s">
        <v>675</v>
      </c>
      <c r="M538" s="137" t="s">
        <v>848</v>
      </c>
    </row>
    <row r="539" spans="1:13" ht="15.6">
      <c r="A539" s="119" t="s">
        <v>707</v>
      </c>
      <c r="B539" s="120" t="s">
        <v>44</v>
      </c>
      <c r="C539" s="121">
        <v>58.03</v>
      </c>
      <c r="D539" s="121">
        <v>2.4700000000000002</v>
      </c>
      <c r="E539" s="122">
        <v>0.60087999999999997</v>
      </c>
      <c r="F539" s="121">
        <v>100</v>
      </c>
      <c r="G539" s="123">
        <v>2160</v>
      </c>
      <c r="H539" s="123">
        <v>5</v>
      </c>
      <c r="I539" s="123">
        <v>150</v>
      </c>
      <c r="J539" s="121">
        <v>5.5</v>
      </c>
      <c r="K539" s="121">
        <v>823</v>
      </c>
      <c r="L539" s="120" t="s">
        <v>675</v>
      </c>
      <c r="M539" s="138" t="s">
        <v>849</v>
      </c>
    </row>
    <row r="540" spans="1:13" ht="15.6">
      <c r="A540" s="119" t="s">
        <v>707</v>
      </c>
      <c r="B540" s="120" t="s">
        <v>44</v>
      </c>
      <c r="C540" s="121">
        <v>58.03</v>
      </c>
      <c r="D540" s="121">
        <v>2.4700000000000002</v>
      </c>
      <c r="E540" s="122">
        <v>0.99456</v>
      </c>
      <c r="F540" s="121">
        <v>100</v>
      </c>
      <c r="G540" s="123">
        <v>2160</v>
      </c>
      <c r="H540" s="123">
        <v>5</v>
      </c>
      <c r="I540" s="123">
        <v>150</v>
      </c>
      <c r="J540" s="121">
        <v>5.5</v>
      </c>
      <c r="K540" s="121">
        <v>823</v>
      </c>
      <c r="L540" s="120" t="s">
        <v>675</v>
      </c>
      <c r="M540" s="137" t="s">
        <v>850</v>
      </c>
    </row>
    <row r="541" spans="1:13" ht="15.6">
      <c r="A541" s="119" t="s">
        <v>709</v>
      </c>
      <c r="B541" s="120" t="s">
        <v>44</v>
      </c>
      <c r="C541" s="121">
        <v>16.559999999999999</v>
      </c>
      <c r="D541" s="121">
        <v>2.39</v>
      </c>
      <c r="E541" s="122">
        <v>0.99456</v>
      </c>
      <c r="F541" s="121">
        <v>100</v>
      </c>
      <c r="G541" s="123">
        <v>2160</v>
      </c>
      <c r="H541" s="123">
        <v>5</v>
      </c>
      <c r="I541" s="123">
        <v>150</v>
      </c>
      <c r="J541" s="121">
        <v>5.5</v>
      </c>
      <c r="K541" s="121">
        <v>623</v>
      </c>
      <c r="L541" s="120" t="s">
        <v>675</v>
      </c>
      <c r="M541" s="137" t="s">
        <v>851</v>
      </c>
    </row>
    <row r="542" spans="1:13" ht="15.6">
      <c r="A542" s="119" t="s">
        <v>709</v>
      </c>
      <c r="B542" s="120" t="s">
        <v>44</v>
      </c>
      <c r="C542" s="121">
        <v>16.559999999999999</v>
      </c>
      <c r="D542" s="121">
        <v>2.39</v>
      </c>
      <c r="E542" s="122">
        <v>0.80808000000000002</v>
      </c>
      <c r="F542" s="121">
        <v>97.43</v>
      </c>
      <c r="G542" s="123">
        <v>2160</v>
      </c>
      <c r="H542" s="123">
        <v>5</v>
      </c>
      <c r="I542" s="123">
        <v>150</v>
      </c>
      <c r="J542" s="121">
        <v>5.5</v>
      </c>
      <c r="K542" s="121">
        <v>623</v>
      </c>
      <c r="L542" s="120" t="s">
        <v>675</v>
      </c>
      <c r="M542" s="137" t="s">
        <v>852</v>
      </c>
    </row>
    <row r="543" spans="1:13" ht="15.6">
      <c r="A543" s="119" t="s">
        <v>709</v>
      </c>
      <c r="B543" s="120" t="s">
        <v>44</v>
      </c>
      <c r="C543" s="121">
        <v>16.559999999999999</v>
      </c>
      <c r="D543" s="121">
        <v>2.39</v>
      </c>
      <c r="E543" s="122">
        <v>0.60087999999999997</v>
      </c>
      <c r="F543" s="121">
        <v>100</v>
      </c>
      <c r="G543" s="123">
        <v>2160</v>
      </c>
      <c r="H543" s="123">
        <v>5</v>
      </c>
      <c r="I543" s="123">
        <v>150</v>
      </c>
      <c r="J543" s="121">
        <v>5.5</v>
      </c>
      <c r="K543" s="121">
        <v>623</v>
      </c>
      <c r="L543" s="120" t="s">
        <v>675</v>
      </c>
      <c r="M543" s="137" t="s">
        <v>853</v>
      </c>
    </row>
    <row r="544" spans="1:13" ht="15.6">
      <c r="A544" s="119" t="s">
        <v>854</v>
      </c>
      <c r="B544" s="120" t="s">
        <v>44</v>
      </c>
      <c r="C544" s="121">
        <v>31.45</v>
      </c>
      <c r="D544" s="121">
        <v>2.38</v>
      </c>
      <c r="E544" s="122">
        <v>0.60087999999999997</v>
      </c>
      <c r="F544" s="121">
        <v>100</v>
      </c>
      <c r="G544" s="123">
        <v>2160</v>
      </c>
      <c r="H544" s="123">
        <v>5</v>
      </c>
      <c r="I544" s="123">
        <v>150</v>
      </c>
      <c r="J544" s="121">
        <v>5.5</v>
      </c>
      <c r="K544" s="121">
        <v>723</v>
      </c>
      <c r="L544" s="120" t="s">
        <v>675</v>
      </c>
      <c r="M544" s="137" t="s">
        <v>855</v>
      </c>
    </row>
    <row r="545" spans="1:13" ht="15.6">
      <c r="A545" s="119" t="s">
        <v>854</v>
      </c>
      <c r="B545" s="120" t="s">
        <v>44</v>
      </c>
      <c r="C545" s="121">
        <v>31.45</v>
      </c>
      <c r="D545" s="121">
        <v>2.38</v>
      </c>
      <c r="E545" s="122">
        <v>0.99456</v>
      </c>
      <c r="F545" s="121">
        <v>100</v>
      </c>
      <c r="G545" s="123">
        <v>2160</v>
      </c>
      <c r="H545" s="123">
        <v>5</v>
      </c>
      <c r="I545" s="123">
        <v>150</v>
      </c>
      <c r="J545" s="121">
        <v>5.5</v>
      </c>
      <c r="K545" s="121">
        <v>723</v>
      </c>
      <c r="L545" s="120" t="s">
        <v>675</v>
      </c>
      <c r="M545" s="137" t="s">
        <v>856</v>
      </c>
    </row>
    <row r="546" spans="1:13" ht="15.6">
      <c r="A546" s="119" t="s">
        <v>854</v>
      </c>
      <c r="B546" s="120" t="s">
        <v>44</v>
      </c>
      <c r="C546" s="121">
        <v>31.45</v>
      </c>
      <c r="D546" s="121">
        <v>2.38</v>
      </c>
      <c r="E546" s="122">
        <v>0.80808000000000002</v>
      </c>
      <c r="F546" s="121">
        <v>97.43</v>
      </c>
      <c r="G546" s="123">
        <v>2160</v>
      </c>
      <c r="H546" s="123">
        <v>5</v>
      </c>
      <c r="I546" s="123">
        <v>150</v>
      </c>
      <c r="J546" s="121">
        <v>5.5</v>
      </c>
      <c r="K546" s="121">
        <v>723</v>
      </c>
      <c r="L546" s="120" t="s">
        <v>675</v>
      </c>
      <c r="M546" s="137" t="s">
        <v>857</v>
      </c>
    </row>
    <row r="547" spans="1:13" ht="15.6">
      <c r="A547" s="119" t="s">
        <v>710</v>
      </c>
      <c r="B547" s="120" t="s">
        <v>44</v>
      </c>
      <c r="C547" s="121">
        <v>24.46</v>
      </c>
      <c r="D547" s="121">
        <v>1.96</v>
      </c>
      <c r="E547" s="122">
        <v>0.99456</v>
      </c>
      <c r="F547" s="121">
        <v>100</v>
      </c>
      <c r="G547" s="123">
        <v>2160</v>
      </c>
      <c r="H547" s="123">
        <v>5</v>
      </c>
      <c r="I547" s="123">
        <v>150</v>
      </c>
      <c r="J547" s="121">
        <v>5.5</v>
      </c>
      <c r="K547" s="121">
        <v>923</v>
      </c>
      <c r="L547" s="120" t="s">
        <v>675</v>
      </c>
      <c r="M547" s="137" t="s">
        <v>858</v>
      </c>
    </row>
    <row r="548" spans="1:13" ht="15.6">
      <c r="A548" s="119" t="s">
        <v>710</v>
      </c>
      <c r="B548" s="120" t="s">
        <v>44</v>
      </c>
      <c r="C548" s="121">
        <v>24.46</v>
      </c>
      <c r="D548" s="121">
        <v>1.96</v>
      </c>
      <c r="E548" s="122">
        <v>0.80808000000000002</v>
      </c>
      <c r="F548" s="121">
        <v>100</v>
      </c>
      <c r="G548" s="123">
        <v>2160</v>
      </c>
      <c r="H548" s="123">
        <v>5</v>
      </c>
      <c r="I548" s="123">
        <v>150</v>
      </c>
      <c r="J548" s="121">
        <v>5.5</v>
      </c>
      <c r="K548" s="121">
        <v>923</v>
      </c>
      <c r="L548" s="120" t="s">
        <v>675</v>
      </c>
      <c r="M548" s="137" t="s">
        <v>859</v>
      </c>
    </row>
    <row r="549" spans="1:13" ht="15.6">
      <c r="A549" s="119" t="s">
        <v>710</v>
      </c>
      <c r="B549" s="120" t="s">
        <v>44</v>
      </c>
      <c r="C549" s="121">
        <v>24.46</v>
      </c>
      <c r="D549" s="121">
        <v>1.96</v>
      </c>
      <c r="E549" s="122">
        <v>0.60087999999999997</v>
      </c>
      <c r="F549" s="121">
        <v>100</v>
      </c>
      <c r="G549" s="123">
        <v>2160</v>
      </c>
      <c r="H549" s="123">
        <v>5</v>
      </c>
      <c r="I549" s="123">
        <v>150</v>
      </c>
      <c r="J549" s="121">
        <v>5.5</v>
      </c>
      <c r="K549" s="121">
        <v>923</v>
      </c>
      <c r="L549" s="120" t="s">
        <v>675</v>
      </c>
      <c r="M549" s="137" t="s">
        <v>860</v>
      </c>
    </row>
    <row r="550" spans="1:13" ht="15.6">
      <c r="A550" s="119" t="s">
        <v>711</v>
      </c>
      <c r="B550" s="120" t="s">
        <v>44</v>
      </c>
      <c r="C550" s="121">
        <v>18.579999999999998</v>
      </c>
      <c r="D550" s="121">
        <v>1.21</v>
      </c>
      <c r="E550" s="122">
        <v>0.60087999999999997</v>
      </c>
      <c r="F550" s="121">
        <v>100</v>
      </c>
      <c r="G550" s="123">
        <v>2160</v>
      </c>
      <c r="H550" s="123">
        <v>5</v>
      </c>
      <c r="I550" s="123">
        <v>150</v>
      </c>
      <c r="J550" s="121">
        <v>5.5</v>
      </c>
      <c r="K550" s="121">
        <v>823</v>
      </c>
      <c r="L550" s="120" t="s">
        <v>675</v>
      </c>
      <c r="M550" s="137" t="s">
        <v>861</v>
      </c>
    </row>
    <row r="551" spans="1:13" ht="15.6">
      <c r="A551" s="119" t="s">
        <v>711</v>
      </c>
      <c r="B551" s="120" t="s">
        <v>44</v>
      </c>
      <c r="C551" s="121">
        <v>18.579999999999998</v>
      </c>
      <c r="D551" s="121">
        <v>1.21</v>
      </c>
      <c r="E551" s="122">
        <v>0.80808000000000002</v>
      </c>
      <c r="F551" s="121">
        <v>97.43</v>
      </c>
      <c r="G551" s="123">
        <v>2160</v>
      </c>
      <c r="H551" s="123">
        <v>5</v>
      </c>
      <c r="I551" s="123">
        <v>150</v>
      </c>
      <c r="J551" s="121">
        <v>5.5</v>
      </c>
      <c r="K551" s="121">
        <v>823</v>
      </c>
      <c r="L551" s="120" t="s">
        <v>675</v>
      </c>
      <c r="M551" s="137" t="s">
        <v>862</v>
      </c>
    </row>
    <row r="552" spans="1:13" ht="15.6">
      <c r="A552" s="119" t="s">
        <v>711</v>
      </c>
      <c r="B552" s="120" t="s">
        <v>44</v>
      </c>
      <c r="C552" s="121">
        <v>18.579999999999998</v>
      </c>
      <c r="D552" s="121">
        <v>1.21</v>
      </c>
      <c r="E552" s="122">
        <v>0.99456</v>
      </c>
      <c r="F552" s="121">
        <v>100</v>
      </c>
      <c r="G552" s="123">
        <v>2160</v>
      </c>
      <c r="H552" s="123">
        <v>5</v>
      </c>
      <c r="I552" s="123">
        <v>150</v>
      </c>
      <c r="J552" s="121">
        <v>5.5</v>
      </c>
      <c r="K552" s="121">
        <v>823</v>
      </c>
      <c r="L552" s="120" t="s">
        <v>675</v>
      </c>
      <c r="M552" s="137" t="s">
        <v>863</v>
      </c>
    </row>
    <row r="553" spans="1:13" ht="15.6">
      <c r="A553" s="119" t="s">
        <v>674</v>
      </c>
      <c r="B553" s="120" t="s">
        <v>44</v>
      </c>
      <c r="C553" s="121">
        <v>28.11</v>
      </c>
      <c r="D553" s="121">
        <v>1.69</v>
      </c>
      <c r="E553" s="122">
        <v>0.80808000000000002</v>
      </c>
      <c r="F553" s="121">
        <v>100</v>
      </c>
      <c r="G553" s="123">
        <v>2160</v>
      </c>
      <c r="H553" s="123">
        <v>5</v>
      </c>
      <c r="I553" s="123">
        <v>150</v>
      </c>
      <c r="J553" s="121">
        <v>5.5</v>
      </c>
      <c r="K553" s="121">
        <v>923</v>
      </c>
      <c r="L553" s="120" t="s">
        <v>675</v>
      </c>
      <c r="M553" s="137" t="s">
        <v>864</v>
      </c>
    </row>
    <row r="554" spans="1:13" ht="15.6">
      <c r="A554" s="119" t="s">
        <v>674</v>
      </c>
      <c r="B554" s="120" t="s">
        <v>44</v>
      </c>
      <c r="C554" s="121">
        <v>28.11</v>
      </c>
      <c r="D554" s="121">
        <v>1.69</v>
      </c>
      <c r="E554" s="122">
        <v>0.60087999999999997</v>
      </c>
      <c r="F554" s="121">
        <v>100</v>
      </c>
      <c r="G554" s="123">
        <v>2160</v>
      </c>
      <c r="H554" s="123">
        <v>5</v>
      </c>
      <c r="I554" s="123">
        <v>150</v>
      </c>
      <c r="J554" s="121">
        <v>5.5</v>
      </c>
      <c r="K554" s="121">
        <v>923</v>
      </c>
      <c r="L554" s="120" t="s">
        <v>675</v>
      </c>
      <c r="M554" s="137" t="s">
        <v>865</v>
      </c>
    </row>
    <row r="555" spans="1:13" ht="15.6">
      <c r="A555" s="119" t="s">
        <v>674</v>
      </c>
      <c r="B555" s="120" t="s">
        <v>44</v>
      </c>
      <c r="C555" s="121">
        <v>28.11</v>
      </c>
      <c r="D555" s="121">
        <v>1.69</v>
      </c>
      <c r="E555" s="122">
        <v>0.99456</v>
      </c>
      <c r="F555" s="121">
        <v>100</v>
      </c>
      <c r="G555" s="123">
        <v>2160</v>
      </c>
      <c r="H555" s="123">
        <v>5</v>
      </c>
      <c r="I555" s="123">
        <v>150</v>
      </c>
      <c r="J555" s="121">
        <v>5.5</v>
      </c>
      <c r="K555" s="121">
        <v>923</v>
      </c>
      <c r="L555" s="120" t="s">
        <v>675</v>
      </c>
      <c r="M555" s="137" t="s">
        <v>866</v>
      </c>
    </row>
    <row r="556" spans="1:13" ht="15.6">
      <c r="A556" s="119" t="s">
        <v>712</v>
      </c>
      <c r="B556" s="120" t="s">
        <v>44</v>
      </c>
      <c r="C556" s="121">
        <v>14.03</v>
      </c>
      <c r="D556" s="121">
        <v>1.32</v>
      </c>
      <c r="E556" s="122">
        <v>0.80808000000000002</v>
      </c>
      <c r="F556" s="121">
        <v>97.43</v>
      </c>
      <c r="G556" s="123">
        <v>2160</v>
      </c>
      <c r="H556" s="123">
        <v>5</v>
      </c>
      <c r="I556" s="123">
        <v>150</v>
      </c>
      <c r="J556" s="121">
        <v>5.5</v>
      </c>
      <c r="K556" s="121">
        <v>623</v>
      </c>
      <c r="L556" s="120" t="s">
        <v>675</v>
      </c>
      <c r="M556" s="137" t="s">
        <v>867</v>
      </c>
    </row>
    <row r="557" spans="1:13" ht="15.6">
      <c r="A557" s="119" t="s">
        <v>712</v>
      </c>
      <c r="B557" s="120" t="s">
        <v>44</v>
      </c>
      <c r="C557" s="121">
        <v>14.03</v>
      </c>
      <c r="D557" s="121">
        <v>1.32</v>
      </c>
      <c r="E557" s="122">
        <v>0.60087999999999997</v>
      </c>
      <c r="F557" s="121">
        <v>100</v>
      </c>
      <c r="G557" s="123">
        <v>2160</v>
      </c>
      <c r="H557" s="123">
        <v>5</v>
      </c>
      <c r="I557" s="123">
        <v>150</v>
      </c>
      <c r="J557" s="121">
        <v>5.5</v>
      </c>
      <c r="K557" s="121">
        <v>623</v>
      </c>
      <c r="L557" s="120" t="s">
        <v>675</v>
      </c>
      <c r="M557" s="137" t="s">
        <v>868</v>
      </c>
    </row>
    <row r="558" spans="1:13" ht="15.6">
      <c r="A558" s="119" t="s">
        <v>712</v>
      </c>
      <c r="B558" s="120" t="s">
        <v>44</v>
      </c>
      <c r="C558" s="121">
        <v>14.03</v>
      </c>
      <c r="D558" s="121">
        <v>1.32</v>
      </c>
      <c r="E558" s="122">
        <v>0.99456</v>
      </c>
      <c r="F558" s="121">
        <v>100</v>
      </c>
      <c r="G558" s="123">
        <v>2160</v>
      </c>
      <c r="H558" s="123">
        <v>5</v>
      </c>
      <c r="I558" s="123">
        <v>150</v>
      </c>
      <c r="J558" s="121">
        <v>5.5</v>
      </c>
      <c r="K558" s="121">
        <v>623</v>
      </c>
      <c r="L558" s="120" t="s">
        <v>675</v>
      </c>
      <c r="M558" s="139" t="s">
        <v>869</v>
      </c>
    </row>
    <row r="559" spans="1:13" ht="15.6">
      <c r="A559" s="119" t="s">
        <v>713</v>
      </c>
      <c r="B559" s="120" t="s">
        <v>44</v>
      </c>
      <c r="C559" s="121">
        <v>14.08</v>
      </c>
      <c r="D559" s="121">
        <v>1.93</v>
      </c>
      <c r="E559" s="122">
        <v>0.99456</v>
      </c>
      <c r="F559" s="121">
        <v>100</v>
      </c>
      <c r="G559" s="123">
        <v>2160</v>
      </c>
      <c r="H559" s="123">
        <v>5</v>
      </c>
      <c r="I559" s="123">
        <v>150</v>
      </c>
      <c r="J559" s="121">
        <v>5.5</v>
      </c>
      <c r="K559" s="121">
        <v>723</v>
      </c>
      <c r="L559" s="120" t="s">
        <v>675</v>
      </c>
      <c r="M559" s="137" t="s">
        <v>870</v>
      </c>
    </row>
    <row r="560" spans="1:13" ht="15.6">
      <c r="A560" s="119" t="s">
        <v>713</v>
      </c>
      <c r="B560" s="120" t="s">
        <v>44</v>
      </c>
      <c r="C560" s="121">
        <v>14.08</v>
      </c>
      <c r="D560" s="121">
        <v>1.93</v>
      </c>
      <c r="E560" s="122">
        <v>0.60087999999999997</v>
      </c>
      <c r="F560" s="121">
        <v>100</v>
      </c>
      <c r="G560" s="123">
        <v>2160</v>
      </c>
      <c r="H560" s="123">
        <v>5</v>
      </c>
      <c r="I560" s="123">
        <v>150</v>
      </c>
      <c r="J560" s="121">
        <v>5.5</v>
      </c>
      <c r="K560" s="121">
        <v>723</v>
      </c>
      <c r="L560" s="120" t="s">
        <v>675</v>
      </c>
      <c r="M560" s="139" t="s">
        <v>871</v>
      </c>
    </row>
    <row r="561" spans="1:13" ht="15.6">
      <c r="A561" s="119" t="s">
        <v>713</v>
      </c>
      <c r="B561" s="120" t="s">
        <v>44</v>
      </c>
      <c r="C561" s="121">
        <v>14.08</v>
      </c>
      <c r="D561" s="121">
        <v>1.93</v>
      </c>
      <c r="E561" s="122">
        <v>0.80808000000000002</v>
      </c>
      <c r="F561" s="121">
        <v>97.43</v>
      </c>
      <c r="G561" s="123">
        <v>2160</v>
      </c>
      <c r="H561" s="123">
        <v>5</v>
      </c>
      <c r="I561" s="123">
        <v>150</v>
      </c>
      <c r="J561" s="121">
        <v>5.5</v>
      </c>
      <c r="K561" s="121">
        <v>723</v>
      </c>
      <c r="L561" s="120" t="s">
        <v>675</v>
      </c>
      <c r="M561" s="137" t="s">
        <v>872</v>
      </c>
    </row>
    <row r="562" spans="1:13" ht="15.6">
      <c r="A562" s="119" t="s">
        <v>873</v>
      </c>
      <c r="B562" s="120" t="s">
        <v>283</v>
      </c>
      <c r="C562" s="121">
        <v>219.35</v>
      </c>
      <c r="D562" s="121">
        <v>0.34499999999999997</v>
      </c>
      <c r="E562" s="122">
        <v>6.36</v>
      </c>
      <c r="F562" s="121">
        <v>8.125</v>
      </c>
      <c r="G562" s="123">
        <v>1440</v>
      </c>
      <c r="H562" s="123">
        <v>25</v>
      </c>
      <c r="I562" s="123">
        <v>120</v>
      </c>
      <c r="J562" s="121">
        <v>3</v>
      </c>
      <c r="K562" s="121">
        <v>973</v>
      </c>
      <c r="L562" s="120" t="s">
        <v>874</v>
      </c>
      <c r="M562" s="136" t="s">
        <v>875</v>
      </c>
    </row>
    <row r="563" spans="1:13" ht="15.6">
      <c r="A563" s="119" t="s">
        <v>876</v>
      </c>
      <c r="B563" s="120" t="s">
        <v>283</v>
      </c>
      <c r="C563" s="121">
        <v>309.29000000000002</v>
      </c>
      <c r="D563" s="121">
        <v>1.32</v>
      </c>
      <c r="E563" s="122">
        <v>4.7</v>
      </c>
      <c r="F563" s="121">
        <v>18.25</v>
      </c>
      <c r="G563" s="123">
        <v>1440</v>
      </c>
      <c r="H563" s="123">
        <v>25</v>
      </c>
      <c r="I563" s="123">
        <v>120</v>
      </c>
      <c r="J563" s="121">
        <v>3</v>
      </c>
      <c r="K563" s="121">
        <v>973</v>
      </c>
      <c r="L563" s="120" t="s">
        <v>874</v>
      </c>
      <c r="M563" s="137" t="s">
        <v>877</v>
      </c>
    </row>
    <row r="564" spans="1:13" ht="15.6">
      <c r="A564" s="119" t="s">
        <v>873</v>
      </c>
      <c r="B564" s="120" t="s">
        <v>283</v>
      </c>
      <c r="C564" s="121">
        <v>219.35</v>
      </c>
      <c r="D564" s="121">
        <v>0.59</v>
      </c>
      <c r="E564" s="122">
        <v>2.0299999999999998</v>
      </c>
      <c r="F564" s="121">
        <v>17.125</v>
      </c>
      <c r="G564" s="123">
        <v>1440</v>
      </c>
      <c r="H564" s="123">
        <v>25</v>
      </c>
      <c r="I564" s="123">
        <v>120</v>
      </c>
      <c r="J564" s="121">
        <v>4</v>
      </c>
      <c r="K564" s="121">
        <v>973</v>
      </c>
      <c r="L564" s="120" t="s">
        <v>874</v>
      </c>
      <c r="M564" s="137" t="s">
        <v>878</v>
      </c>
    </row>
    <row r="565" spans="1:13" ht="15.6">
      <c r="A565" s="119" t="s">
        <v>876</v>
      </c>
      <c r="B565" s="120" t="s">
        <v>283</v>
      </c>
      <c r="C565" s="121">
        <v>309.29000000000002</v>
      </c>
      <c r="D565" s="121">
        <v>31.85</v>
      </c>
      <c r="E565" s="122">
        <v>19.46</v>
      </c>
      <c r="F565" s="121">
        <v>38.625</v>
      </c>
      <c r="G565" s="123">
        <v>1440</v>
      </c>
      <c r="H565" s="123">
        <v>25</v>
      </c>
      <c r="I565" s="123">
        <v>120</v>
      </c>
      <c r="J565" s="121">
        <v>5</v>
      </c>
      <c r="K565" s="121">
        <v>973</v>
      </c>
      <c r="L565" s="120" t="s">
        <v>874</v>
      </c>
      <c r="M565" s="137" t="s">
        <v>879</v>
      </c>
    </row>
    <row r="566" spans="1:13" ht="15.6">
      <c r="A566" s="119" t="s">
        <v>876</v>
      </c>
      <c r="B566" s="120" t="s">
        <v>283</v>
      </c>
      <c r="C566" s="121">
        <v>309.29000000000002</v>
      </c>
      <c r="D566" s="121">
        <v>2.15</v>
      </c>
      <c r="E566" s="122">
        <v>69.58</v>
      </c>
      <c r="F566" s="121">
        <v>36.125</v>
      </c>
      <c r="G566" s="123">
        <v>1440</v>
      </c>
      <c r="H566" s="123">
        <v>25</v>
      </c>
      <c r="I566" s="123">
        <v>120</v>
      </c>
      <c r="J566" s="121">
        <v>4</v>
      </c>
      <c r="K566" s="121">
        <v>973</v>
      </c>
      <c r="L566" s="120" t="s">
        <v>874</v>
      </c>
      <c r="M566" s="137" t="s">
        <v>880</v>
      </c>
    </row>
    <row r="567" spans="1:13" ht="15.6">
      <c r="A567" s="119" t="s">
        <v>873</v>
      </c>
      <c r="B567" s="120" t="s">
        <v>283</v>
      </c>
      <c r="C567" s="121">
        <v>219.35</v>
      </c>
      <c r="D567" s="121">
        <v>0.78</v>
      </c>
      <c r="E567" s="122">
        <v>46.29</v>
      </c>
      <c r="F567" s="121">
        <v>20.25</v>
      </c>
      <c r="G567" s="123">
        <v>1440</v>
      </c>
      <c r="H567" s="123">
        <v>25</v>
      </c>
      <c r="I567" s="123">
        <v>120</v>
      </c>
      <c r="J567" s="121">
        <v>5</v>
      </c>
      <c r="K567" s="121">
        <v>973</v>
      </c>
      <c r="L567" s="120" t="s">
        <v>874</v>
      </c>
      <c r="M567" s="137" t="s">
        <v>881</v>
      </c>
    </row>
    <row r="643" spans="1:13" ht="13.2">
      <c r="B643" s="64"/>
    </row>
    <row r="644" spans="1:13" ht="13.2">
      <c r="B644" s="64"/>
    </row>
    <row r="645" spans="1:13" ht="13.2">
      <c r="B645" s="64"/>
    </row>
    <row r="649" spans="1:13" ht="13.2">
      <c r="A649" s="63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7"/>
    </row>
    <row r="650" spans="1:13" ht="13.2">
      <c r="A650" s="63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</row>
    <row r="651" spans="1:13" ht="13.2">
      <c r="A651" s="63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</row>
    <row r="652" spans="1:13" ht="13.2">
      <c r="M652" s="64"/>
    </row>
    <row r="653" spans="1:13" ht="13.2">
      <c r="M653" s="64"/>
    </row>
    <row r="654" spans="1:13" ht="13.2">
      <c r="M654" s="64"/>
    </row>
    <row r="655" spans="1:13" ht="13.2">
      <c r="M655" s="64"/>
    </row>
    <row r="656" spans="1:13" ht="13.2">
      <c r="M656" s="64"/>
    </row>
    <row r="657" spans="13:13" ht="13.2">
      <c r="M657" s="64"/>
    </row>
    <row r="658" spans="13:13" ht="13.2">
      <c r="M658" s="64"/>
    </row>
    <row r="659" spans="13:13" ht="13.2">
      <c r="M659" s="64"/>
    </row>
    <row r="660" spans="13:13" ht="13.2">
      <c r="M660" s="64"/>
    </row>
    <row r="661" spans="13:13" ht="13.2">
      <c r="M661" s="64"/>
    </row>
    <row r="662" spans="13:13" ht="13.2">
      <c r="M662" s="64"/>
    </row>
    <row r="663" spans="13:13" ht="13.2">
      <c r="M663" s="64"/>
    </row>
    <row r="664" spans="13:13" ht="13.2">
      <c r="M664" s="64"/>
    </row>
    <row r="665" spans="13:13" ht="13.2">
      <c r="M665" s="64"/>
    </row>
    <row r="666" spans="13:13" ht="13.2">
      <c r="M666" s="64"/>
    </row>
    <row r="667" spans="13:13" ht="13.2">
      <c r="M667" s="64"/>
    </row>
    <row r="668" spans="13:13" ht="13.2">
      <c r="M668" s="64"/>
    </row>
    <row r="669" spans="13:13" ht="13.2">
      <c r="M669" s="64"/>
    </row>
    <row r="670" spans="13:13" ht="13.2">
      <c r="M670" s="64"/>
    </row>
    <row r="671" spans="13:13" ht="13.2">
      <c r="M671" s="64"/>
    </row>
    <row r="672" spans="13:13" ht="13.2">
      <c r="M672" s="64"/>
    </row>
    <row r="673" spans="13:13" ht="13.2">
      <c r="M673" s="64"/>
    </row>
    <row r="674" spans="13:13" ht="13.2">
      <c r="M674" s="64"/>
    </row>
    <row r="675" spans="13:13" ht="13.2">
      <c r="M675" s="64"/>
    </row>
    <row r="676" spans="13:13" ht="13.2">
      <c r="M676" s="64"/>
    </row>
    <row r="677" spans="13:13" ht="13.2">
      <c r="M677" s="64"/>
    </row>
    <row r="678" spans="13:13" ht="13.2">
      <c r="M678" s="64"/>
    </row>
    <row r="679" spans="13:13" ht="13.2">
      <c r="M679" s="64"/>
    </row>
    <row r="680" spans="13:13" ht="13.2">
      <c r="M680" s="64"/>
    </row>
    <row r="681" spans="13:13" ht="13.2">
      <c r="M681" s="64"/>
    </row>
    <row r="682" spans="13:13" ht="13.2">
      <c r="M682" s="64"/>
    </row>
    <row r="683" spans="13:13" ht="13.2">
      <c r="M683" s="64"/>
    </row>
    <row r="684" spans="13:13" ht="13.2">
      <c r="M684" s="64"/>
    </row>
    <row r="685" spans="13:13" ht="13.2">
      <c r="M685" s="64"/>
    </row>
    <row r="686" spans="13:13" ht="13.2">
      <c r="M686" s="64"/>
    </row>
    <row r="687" spans="13:13" ht="13.2">
      <c r="M687" s="64"/>
    </row>
    <row r="688" spans="13:13" ht="13.2">
      <c r="M688" s="64"/>
    </row>
    <row r="689" spans="13:13" ht="13.2">
      <c r="M689" s="64"/>
    </row>
    <row r="690" spans="13:13" ht="13.2">
      <c r="M690" s="64"/>
    </row>
    <row r="691" spans="13:13" ht="13.2">
      <c r="M691" s="64"/>
    </row>
    <row r="692" spans="13:13" ht="13.2">
      <c r="M692" s="64"/>
    </row>
    <row r="693" spans="13:13" ht="13.2">
      <c r="M693" s="64"/>
    </row>
    <row r="694" spans="13:13" ht="13.2">
      <c r="M694" s="64"/>
    </row>
    <row r="695" spans="13:13" ht="13.2">
      <c r="M695" s="64"/>
    </row>
    <row r="696" spans="13:13" ht="13.2">
      <c r="M696" s="64"/>
    </row>
    <row r="697" spans="13:13" ht="13.2">
      <c r="M697" s="64"/>
    </row>
    <row r="698" spans="13:13" ht="13.2">
      <c r="M698" s="64"/>
    </row>
    <row r="699" spans="13:13" ht="13.2">
      <c r="M699" s="64"/>
    </row>
    <row r="700" spans="13:13" ht="13.2">
      <c r="M700" s="64"/>
    </row>
    <row r="701" spans="13:13" ht="13.2">
      <c r="M701" s="64"/>
    </row>
    <row r="702" spans="13:13" ht="13.2">
      <c r="M702" s="64"/>
    </row>
    <row r="703" spans="13:13" ht="13.2">
      <c r="M703" s="64"/>
    </row>
    <row r="704" spans="13:13" ht="13.2">
      <c r="M704" s="64"/>
    </row>
    <row r="705" spans="13:13" ht="13.2">
      <c r="M705" s="64"/>
    </row>
    <row r="706" spans="13:13" ht="13.2">
      <c r="M706" s="64"/>
    </row>
    <row r="707" spans="13:13" ht="13.2">
      <c r="M707" s="64"/>
    </row>
    <row r="708" spans="13:13" ht="13.2">
      <c r="M708" s="64"/>
    </row>
    <row r="709" spans="13:13" ht="13.2">
      <c r="M709" s="64"/>
    </row>
    <row r="710" spans="13:13" ht="13.2">
      <c r="M710" s="64"/>
    </row>
    <row r="711" spans="13:13" ht="13.2">
      <c r="M711" s="64"/>
    </row>
    <row r="712" spans="13:13" ht="13.2">
      <c r="M712" s="64"/>
    </row>
    <row r="713" spans="13:13" ht="13.2">
      <c r="M713" s="64"/>
    </row>
    <row r="714" spans="13:13" ht="13.2">
      <c r="M714" s="64"/>
    </row>
    <row r="715" spans="13:13" ht="13.2">
      <c r="M715" s="64"/>
    </row>
    <row r="716" spans="13:13" ht="13.2">
      <c r="M716" s="64"/>
    </row>
    <row r="717" spans="13:13" ht="13.2">
      <c r="M717" s="64"/>
    </row>
    <row r="718" spans="13:13" ht="13.2">
      <c r="M718" s="64"/>
    </row>
    <row r="719" spans="13:13" ht="13.2">
      <c r="M719" s="64"/>
    </row>
    <row r="720" spans="13:13" ht="13.2">
      <c r="M720" s="64"/>
    </row>
    <row r="721" spans="13:13" ht="13.2">
      <c r="M721" s="64"/>
    </row>
    <row r="722" spans="13:13" ht="13.2">
      <c r="M722" s="64"/>
    </row>
    <row r="723" spans="13:13" ht="13.2">
      <c r="M723" s="64"/>
    </row>
    <row r="724" spans="13:13" ht="13.2">
      <c r="M724" s="64"/>
    </row>
    <row r="725" spans="13:13" ht="13.2">
      <c r="M725" s="64"/>
    </row>
    <row r="726" spans="13:13" ht="13.2">
      <c r="M726" s="64"/>
    </row>
    <row r="727" spans="13:13" ht="13.2">
      <c r="M727" s="64"/>
    </row>
    <row r="728" spans="13:13" ht="13.2">
      <c r="M728" s="64"/>
    </row>
    <row r="729" spans="13:13" ht="13.2">
      <c r="M729" s="64"/>
    </row>
    <row r="730" spans="13:13" ht="13.2">
      <c r="M730" s="64"/>
    </row>
    <row r="731" spans="13:13" ht="13.2">
      <c r="M731" s="64"/>
    </row>
    <row r="732" spans="13:13" ht="13.2">
      <c r="M732" s="64"/>
    </row>
    <row r="733" spans="13:13" ht="13.2">
      <c r="M733" s="64"/>
    </row>
    <row r="734" spans="13:13" ht="13.2">
      <c r="M734" s="64"/>
    </row>
    <row r="735" spans="13:13" ht="13.2">
      <c r="M735" s="64"/>
    </row>
    <row r="736" spans="13:13" ht="13.2">
      <c r="M736" s="64"/>
    </row>
    <row r="737" spans="13:13" ht="13.2">
      <c r="M737" s="64"/>
    </row>
    <row r="738" spans="13:13" ht="13.2">
      <c r="M738" s="64"/>
    </row>
    <row r="739" spans="13:13" ht="13.2">
      <c r="M739" s="64"/>
    </row>
    <row r="740" spans="13:13" ht="13.2">
      <c r="M740" s="64"/>
    </row>
    <row r="741" spans="13:13" ht="13.2">
      <c r="M741" s="64"/>
    </row>
    <row r="742" spans="13:13" ht="13.2">
      <c r="M742" s="64"/>
    </row>
    <row r="743" spans="13:13" ht="13.2">
      <c r="M743" s="64"/>
    </row>
    <row r="744" spans="13:13" ht="13.2">
      <c r="M744" s="64"/>
    </row>
    <row r="745" spans="13:13" ht="13.2">
      <c r="M745" s="64"/>
    </row>
    <row r="746" spans="13:13" ht="13.2">
      <c r="M746" s="64"/>
    </row>
    <row r="747" spans="13:13" ht="13.2">
      <c r="M747" s="64"/>
    </row>
    <row r="748" spans="13:13" ht="13.2">
      <c r="M748" s="64"/>
    </row>
    <row r="749" spans="13:13" ht="13.2">
      <c r="M749" s="64"/>
    </row>
    <row r="750" spans="13:13" ht="13.2">
      <c r="M750" s="64"/>
    </row>
    <row r="751" spans="13:13" ht="13.2">
      <c r="M751" s="64"/>
    </row>
    <row r="752" spans="13:13" ht="13.2">
      <c r="M752" s="64"/>
    </row>
    <row r="753" spans="13:13" ht="13.2">
      <c r="M753" s="64"/>
    </row>
    <row r="754" spans="13:13" ht="13.2">
      <c r="M754" s="64"/>
    </row>
    <row r="755" spans="13:13" ht="13.2">
      <c r="M755" s="64"/>
    </row>
    <row r="756" spans="13:13" ht="13.2">
      <c r="M756" s="64"/>
    </row>
    <row r="757" spans="13:13" ht="13.2">
      <c r="M757" s="64"/>
    </row>
    <row r="758" spans="13:13" ht="13.2">
      <c r="M758" s="64"/>
    </row>
    <row r="759" spans="13:13" ht="13.2">
      <c r="M759" s="64"/>
    </row>
    <row r="760" spans="13:13" ht="13.2">
      <c r="M760" s="64"/>
    </row>
    <row r="761" spans="13:13" ht="13.2">
      <c r="M761" s="64"/>
    </row>
    <row r="762" spans="13:13" ht="13.2">
      <c r="M762" s="64"/>
    </row>
    <row r="763" spans="13:13" ht="13.2">
      <c r="M763" s="64"/>
    </row>
    <row r="764" spans="13:13" ht="13.2">
      <c r="M764" s="64"/>
    </row>
    <row r="765" spans="13:13" ht="13.2">
      <c r="M765" s="64"/>
    </row>
    <row r="766" spans="13:13" ht="13.2">
      <c r="M766" s="64"/>
    </row>
    <row r="767" spans="13:13" ht="13.2">
      <c r="M767" s="64"/>
    </row>
    <row r="768" spans="13:13" ht="13.2">
      <c r="M768" s="64"/>
    </row>
    <row r="769" spans="13:13" ht="13.2">
      <c r="M769" s="64"/>
    </row>
    <row r="770" spans="13:13" ht="13.2">
      <c r="M770" s="64"/>
    </row>
    <row r="771" spans="13:13" ht="13.2">
      <c r="M771" s="64"/>
    </row>
    <row r="772" spans="13:13" ht="13.2">
      <c r="M772" s="64"/>
    </row>
    <row r="773" spans="13:13" ht="13.2">
      <c r="M773" s="64"/>
    </row>
    <row r="774" spans="13:13" ht="13.2">
      <c r="M774" s="64"/>
    </row>
    <row r="775" spans="13:13" ht="13.2">
      <c r="M775" s="64"/>
    </row>
    <row r="776" spans="13:13" ht="13.2">
      <c r="M776" s="64"/>
    </row>
    <row r="777" spans="13:13" ht="13.2">
      <c r="M777" s="64"/>
    </row>
    <row r="778" spans="13:13" ht="13.2">
      <c r="M778" s="64"/>
    </row>
    <row r="779" spans="13:13" ht="13.2">
      <c r="M779" s="64"/>
    </row>
    <row r="780" spans="13:13" ht="13.2">
      <c r="M780" s="64"/>
    </row>
    <row r="781" spans="13:13" ht="13.2">
      <c r="M781" s="64"/>
    </row>
    <row r="782" spans="13:13" ht="13.2">
      <c r="M782" s="64"/>
    </row>
    <row r="783" spans="13:13" ht="13.2">
      <c r="M783" s="64"/>
    </row>
    <row r="784" spans="13:13" ht="13.2">
      <c r="M784" s="64"/>
    </row>
    <row r="785" spans="13:13" ht="13.2">
      <c r="M785" s="64"/>
    </row>
    <row r="786" spans="13:13" ht="13.2">
      <c r="M786" s="64"/>
    </row>
    <row r="787" spans="13:13" ht="13.2">
      <c r="M787" s="64"/>
    </row>
    <row r="788" spans="13:13" ht="13.2">
      <c r="M788" s="64"/>
    </row>
    <row r="789" spans="13:13" ht="13.2">
      <c r="M789" s="64"/>
    </row>
    <row r="790" spans="13:13" ht="13.2">
      <c r="M790" s="64"/>
    </row>
    <row r="791" spans="13:13" ht="13.2">
      <c r="M791" s="64"/>
    </row>
    <row r="792" spans="13:13" ht="13.2">
      <c r="M792" s="64"/>
    </row>
    <row r="793" spans="13:13" ht="13.2">
      <c r="M793" s="64"/>
    </row>
    <row r="794" spans="13:13" ht="13.2">
      <c r="M794" s="64"/>
    </row>
    <row r="795" spans="13:13" ht="13.2">
      <c r="M795" s="64"/>
    </row>
    <row r="796" spans="13:13" ht="13.2">
      <c r="M796" s="64"/>
    </row>
    <row r="797" spans="13:13" ht="13.2">
      <c r="M797" s="64"/>
    </row>
    <row r="798" spans="13:13" ht="13.2">
      <c r="M798" s="64"/>
    </row>
    <row r="799" spans="13:13" ht="13.2">
      <c r="M799" s="64"/>
    </row>
    <row r="800" spans="13:13" ht="13.2">
      <c r="M800" s="64"/>
    </row>
    <row r="801" spans="13:13" ht="13.2">
      <c r="M801" s="64"/>
    </row>
    <row r="802" spans="13:13" ht="13.2">
      <c r="M802" s="64"/>
    </row>
    <row r="803" spans="13:13" ht="13.2">
      <c r="M803" s="64"/>
    </row>
    <row r="804" spans="13:13" ht="13.2">
      <c r="M804" s="64"/>
    </row>
    <row r="805" spans="13:13" ht="13.2">
      <c r="M805" s="64"/>
    </row>
    <row r="806" spans="13:13" ht="13.2">
      <c r="M806" s="64"/>
    </row>
    <row r="807" spans="13:13" ht="13.2">
      <c r="M807" s="64"/>
    </row>
    <row r="808" spans="13:13" ht="13.2">
      <c r="M808" s="64"/>
    </row>
    <row r="809" spans="13:13" ht="13.2">
      <c r="M809" s="64"/>
    </row>
    <row r="810" spans="13:13" ht="13.2">
      <c r="M810" s="64"/>
    </row>
    <row r="811" spans="13:13" ht="13.2">
      <c r="M811" s="64"/>
    </row>
    <row r="812" spans="13:13" ht="13.2">
      <c r="M812" s="64"/>
    </row>
    <row r="813" spans="13:13" ht="13.2">
      <c r="M813" s="64"/>
    </row>
    <row r="814" spans="13:13" ht="13.2">
      <c r="M814" s="64"/>
    </row>
    <row r="815" spans="13:13" ht="13.2">
      <c r="M815" s="64"/>
    </row>
    <row r="816" spans="13:13" ht="13.2">
      <c r="M816" s="64"/>
    </row>
    <row r="817" spans="13:13" ht="13.2">
      <c r="M817" s="64"/>
    </row>
    <row r="818" spans="13:13" ht="13.2">
      <c r="M818" s="64"/>
    </row>
    <row r="819" spans="13:13" ht="13.2">
      <c r="M819" s="64"/>
    </row>
    <row r="820" spans="13:13" ht="13.2">
      <c r="M820" s="64"/>
    </row>
    <row r="821" spans="13:13" ht="13.2">
      <c r="M821" s="64"/>
    </row>
    <row r="822" spans="13:13" ht="13.2">
      <c r="M822" s="64"/>
    </row>
    <row r="823" spans="13:13" ht="13.2">
      <c r="M823" s="64"/>
    </row>
    <row r="824" spans="13:13" ht="13.2">
      <c r="M824" s="64"/>
    </row>
    <row r="825" spans="13:13" ht="13.2">
      <c r="M825" s="64"/>
    </row>
    <row r="826" spans="13:13" ht="13.2">
      <c r="M826" s="64"/>
    </row>
    <row r="827" spans="13:13" ht="13.2">
      <c r="M827" s="64"/>
    </row>
    <row r="828" spans="13:13" ht="13.2">
      <c r="M828" s="64"/>
    </row>
    <row r="829" spans="13:13" ht="13.2">
      <c r="M829" s="64"/>
    </row>
    <row r="830" spans="13:13" ht="13.2">
      <c r="M830" s="64"/>
    </row>
    <row r="831" spans="13:13" ht="13.2">
      <c r="M831" s="64"/>
    </row>
    <row r="832" spans="13:13" ht="13.2">
      <c r="M832" s="64"/>
    </row>
    <row r="833" spans="13:13" ht="13.2">
      <c r="M833" s="64"/>
    </row>
    <row r="834" spans="13:13" ht="13.2">
      <c r="M834" s="64"/>
    </row>
    <row r="835" spans="13:13" ht="13.2">
      <c r="M835" s="64"/>
    </row>
    <row r="836" spans="13:13" ht="13.2">
      <c r="M836" s="64"/>
    </row>
    <row r="837" spans="13:13" ht="13.2">
      <c r="M837" s="64"/>
    </row>
    <row r="838" spans="13:13" ht="13.2">
      <c r="M838" s="64"/>
    </row>
    <row r="839" spans="13:13" ht="13.2">
      <c r="M839" s="64"/>
    </row>
    <row r="840" spans="13:13" ht="13.2">
      <c r="M840" s="64"/>
    </row>
    <row r="841" spans="13:13" ht="13.2">
      <c r="M841" s="64"/>
    </row>
    <row r="842" spans="13:13" ht="13.2">
      <c r="M842" s="64"/>
    </row>
    <row r="843" spans="13:13" ht="13.2">
      <c r="M843" s="64"/>
    </row>
    <row r="844" spans="13:13" ht="13.2">
      <c r="M844" s="64"/>
    </row>
    <row r="845" spans="13:13" ht="13.2">
      <c r="M845" s="64"/>
    </row>
    <row r="846" spans="13:13" ht="13.2">
      <c r="M846" s="64"/>
    </row>
    <row r="847" spans="13:13" ht="13.2">
      <c r="M847" s="64"/>
    </row>
    <row r="848" spans="13:13" ht="13.2">
      <c r="M848" s="64"/>
    </row>
    <row r="849" spans="13:13" ht="13.2">
      <c r="M849" s="64"/>
    </row>
    <row r="850" spans="13:13" ht="13.2">
      <c r="M850" s="64"/>
    </row>
    <row r="851" spans="13:13" ht="13.2">
      <c r="M851" s="64"/>
    </row>
    <row r="852" spans="13:13" ht="13.2">
      <c r="M852" s="64"/>
    </row>
    <row r="853" spans="13:13" ht="13.2">
      <c r="M853" s="64"/>
    </row>
    <row r="854" spans="13:13" ht="13.2">
      <c r="M854" s="64"/>
    </row>
    <row r="855" spans="13:13" ht="13.2">
      <c r="M855" s="64"/>
    </row>
    <row r="856" spans="13:13" ht="13.2">
      <c r="M856" s="64"/>
    </row>
    <row r="857" spans="13:13" ht="13.2">
      <c r="M857" s="64"/>
    </row>
    <row r="858" spans="13:13" ht="13.2">
      <c r="M858" s="64"/>
    </row>
    <row r="859" spans="13:13" ht="13.2">
      <c r="M859" s="64"/>
    </row>
    <row r="860" spans="13:13" ht="13.2">
      <c r="M860" s="64"/>
    </row>
    <row r="861" spans="13:13" ht="13.2">
      <c r="M861" s="64"/>
    </row>
    <row r="862" spans="13:13" ht="13.2">
      <c r="M862" s="64"/>
    </row>
    <row r="863" spans="13:13" ht="13.2">
      <c r="M863" s="64"/>
    </row>
    <row r="864" spans="13:13" ht="13.2">
      <c r="M864" s="64"/>
    </row>
    <row r="865" spans="13:13" ht="13.2">
      <c r="M865" s="64"/>
    </row>
    <row r="866" spans="13:13" ht="13.2">
      <c r="M866" s="64"/>
    </row>
    <row r="867" spans="13:13" ht="13.2">
      <c r="M867" s="64"/>
    </row>
    <row r="868" spans="13:13" ht="13.2">
      <c r="M868" s="64"/>
    </row>
    <row r="869" spans="13:13" ht="13.2">
      <c r="M869" s="64"/>
    </row>
    <row r="870" spans="13:13" ht="13.2">
      <c r="M870" s="64"/>
    </row>
    <row r="871" spans="13:13" ht="13.2">
      <c r="M871" s="64"/>
    </row>
    <row r="872" spans="13:13" ht="13.2">
      <c r="M872" s="64"/>
    </row>
    <row r="873" spans="13:13" ht="13.2">
      <c r="M873" s="64"/>
    </row>
    <row r="874" spans="13:13" ht="13.2">
      <c r="M874" s="64"/>
    </row>
    <row r="875" spans="13:13" ht="13.2">
      <c r="M875" s="64"/>
    </row>
    <row r="876" spans="13:13" ht="13.2">
      <c r="M876" s="64"/>
    </row>
    <row r="877" spans="13:13" ht="13.2">
      <c r="M877" s="64"/>
    </row>
    <row r="878" spans="13:13" ht="13.2">
      <c r="M878" s="64"/>
    </row>
    <row r="879" spans="13:13" ht="13.2">
      <c r="M879" s="64"/>
    </row>
    <row r="880" spans="13:13" ht="13.2">
      <c r="M880" s="64"/>
    </row>
    <row r="881" spans="13:13" ht="13.2">
      <c r="M881" s="64"/>
    </row>
    <row r="882" spans="13:13" ht="13.2">
      <c r="M882" s="64"/>
    </row>
    <row r="883" spans="13:13" ht="13.2">
      <c r="M883" s="64"/>
    </row>
    <row r="884" spans="13:13" ht="13.2">
      <c r="M884" s="64"/>
    </row>
    <row r="885" spans="13:13" ht="13.2">
      <c r="M885" s="64"/>
    </row>
    <row r="886" spans="13:13" ht="13.2">
      <c r="M886" s="64"/>
    </row>
    <row r="887" spans="13:13" ht="13.2">
      <c r="M887" s="64"/>
    </row>
    <row r="888" spans="13:13" ht="13.2">
      <c r="M888" s="64"/>
    </row>
    <row r="889" spans="13:13" ht="13.2">
      <c r="M889" s="64"/>
    </row>
    <row r="890" spans="13:13" ht="13.2">
      <c r="M890" s="64"/>
    </row>
    <row r="891" spans="13:13" ht="13.2">
      <c r="M891" s="64"/>
    </row>
    <row r="892" spans="13:13" ht="13.2">
      <c r="M892" s="64"/>
    </row>
    <row r="893" spans="13:13" ht="13.2">
      <c r="M893" s="64"/>
    </row>
    <row r="894" spans="13:13" ht="13.2">
      <c r="M894" s="64"/>
    </row>
    <row r="895" spans="13:13" ht="13.2">
      <c r="M895" s="64"/>
    </row>
    <row r="896" spans="13:13" ht="13.2">
      <c r="M896" s="64"/>
    </row>
    <row r="897" spans="13:13" ht="13.2">
      <c r="M897" s="64"/>
    </row>
    <row r="898" spans="13:13" ht="13.2">
      <c r="M898" s="64"/>
    </row>
    <row r="899" spans="13:13" ht="13.2">
      <c r="M899" s="64"/>
    </row>
    <row r="900" spans="13:13" ht="13.2">
      <c r="M900" s="64"/>
    </row>
    <row r="901" spans="13:13" ht="13.2">
      <c r="M901" s="64"/>
    </row>
    <row r="902" spans="13:13" ht="13.2">
      <c r="M902" s="64"/>
    </row>
    <row r="903" spans="13:13" ht="13.2">
      <c r="M903" s="64"/>
    </row>
    <row r="904" spans="13:13" ht="13.2">
      <c r="M904" s="64"/>
    </row>
    <row r="905" spans="13:13" ht="13.2">
      <c r="M905" s="64"/>
    </row>
    <row r="906" spans="13:13" ht="13.2">
      <c r="M906" s="64"/>
    </row>
    <row r="907" spans="13:13" ht="13.2">
      <c r="M907" s="64"/>
    </row>
    <row r="908" spans="13:13" ht="13.2">
      <c r="M908" s="64"/>
    </row>
    <row r="909" spans="13:13" ht="13.2">
      <c r="M909" s="64"/>
    </row>
    <row r="910" spans="13:13" ht="13.2">
      <c r="M910" s="64"/>
    </row>
    <row r="911" spans="13:13" ht="13.2">
      <c r="M911" s="64"/>
    </row>
    <row r="912" spans="13:13" ht="13.2">
      <c r="M912" s="64"/>
    </row>
    <row r="913" spans="13:13" ht="13.2">
      <c r="M913" s="64"/>
    </row>
    <row r="914" spans="13:13" ht="13.2">
      <c r="M914" s="64"/>
    </row>
    <row r="915" spans="13:13" ht="13.2">
      <c r="M915" s="64"/>
    </row>
    <row r="916" spans="13:13" ht="13.2">
      <c r="M916" s="64"/>
    </row>
    <row r="917" spans="13:13" ht="13.2">
      <c r="M917" s="64"/>
    </row>
    <row r="918" spans="13:13" ht="13.2">
      <c r="M918" s="64"/>
    </row>
    <row r="919" spans="13:13" ht="13.2">
      <c r="M919" s="64"/>
    </row>
    <row r="920" spans="13:13" ht="13.2">
      <c r="M920" s="64"/>
    </row>
    <row r="921" spans="13:13" ht="13.2">
      <c r="M921" s="64"/>
    </row>
    <row r="922" spans="13:13" ht="13.2">
      <c r="M922" s="64"/>
    </row>
    <row r="923" spans="13:13" ht="13.2">
      <c r="M923" s="64"/>
    </row>
    <row r="924" spans="13:13" ht="13.2">
      <c r="M924" s="64"/>
    </row>
    <row r="925" spans="13:13" ht="13.2">
      <c r="M925" s="64"/>
    </row>
    <row r="926" spans="13:13" ht="13.2">
      <c r="M926" s="64"/>
    </row>
    <row r="927" spans="13:13" ht="13.2">
      <c r="M927" s="64"/>
    </row>
    <row r="928" spans="13:13" ht="13.2">
      <c r="M928" s="64"/>
    </row>
    <row r="929" spans="13:13" ht="13.2">
      <c r="M929" s="64"/>
    </row>
    <row r="930" spans="13:13" ht="13.2">
      <c r="M930" s="64"/>
    </row>
    <row r="931" spans="13:13" ht="13.2">
      <c r="M931" s="64"/>
    </row>
    <row r="932" spans="13:13" ht="13.2">
      <c r="M932" s="64"/>
    </row>
    <row r="933" spans="13:13" ht="13.2">
      <c r="M933" s="64"/>
    </row>
    <row r="934" spans="13:13" ht="13.2">
      <c r="M934" s="64"/>
    </row>
    <row r="935" spans="13:13" ht="13.2">
      <c r="M935" s="64"/>
    </row>
    <row r="936" spans="13:13" ht="13.2">
      <c r="M936" s="64"/>
    </row>
    <row r="937" spans="13:13" ht="13.2">
      <c r="M937" s="64"/>
    </row>
    <row r="938" spans="13:13" ht="13.2">
      <c r="M938" s="64"/>
    </row>
    <row r="939" spans="13:13" ht="13.2">
      <c r="M939" s="64"/>
    </row>
    <row r="940" spans="13:13" ht="13.2">
      <c r="M940" s="64"/>
    </row>
    <row r="941" spans="13:13" ht="13.2">
      <c r="M941" s="64"/>
    </row>
    <row r="942" spans="13:13" ht="13.2">
      <c r="M942" s="64"/>
    </row>
    <row r="943" spans="13:13" ht="13.2">
      <c r="M943" s="64"/>
    </row>
    <row r="944" spans="13:13" ht="13.2">
      <c r="M944" s="64"/>
    </row>
    <row r="945" spans="13:13" ht="13.2">
      <c r="M945" s="64"/>
    </row>
    <row r="946" spans="13:13" ht="13.2">
      <c r="M946" s="64"/>
    </row>
    <row r="947" spans="13:13" ht="13.2">
      <c r="M947" s="64"/>
    </row>
    <row r="948" spans="13:13" ht="13.2">
      <c r="M948" s="64"/>
    </row>
    <row r="949" spans="13:13" ht="13.2">
      <c r="M949" s="64"/>
    </row>
    <row r="950" spans="13:13" ht="13.2">
      <c r="M950" s="64"/>
    </row>
    <row r="951" spans="13:13" ht="13.2">
      <c r="M951" s="64"/>
    </row>
    <row r="952" spans="13:13" ht="13.2">
      <c r="M952" s="64"/>
    </row>
    <row r="953" spans="13:13" ht="13.2">
      <c r="M953" s="64"/>
    </row>
    <row r="954" spans="13:13" ht="13.2">
      <c r="M954" s="64"/>
    </row>
    <row r="955" spans="13:13" ht="13.2">
      <c r="M955" s="64"/>
    </row>
    <row r="956" spans="13:13" ht="13.2">
      <c r="M956" s="64"/>
    </row>
    <row r="957" spans="13:13" ht="13.2">
      <c r="M957" s="64"/>
    </row>
    <row r="958" spans="13:13" ht="13.2">
      <c r="M958" s="64"/>
    </row>
    <row r="959" spans="13:13" ht="13.2">
      <c r="M959" s="64"/>
    </row>
    <row r="960" spans="13:13" ht="13.2">
      <c r="M960" s="64"/>
    </row>
    <row r="961" spans="13:13" ht="13.2">
      <c r="M961" s="64"/>
    </row>
    <row r="962" spans="13:13" ht="13.2">
      <c r="M962" s="64"/>
    </row>
    <row r="963" spans="13:13" ht="13.2">
      <c r="M963" s="64"/>
    </row>
    <row r="964" spans="13:13" ht="13.2">
      <c r="M964" s="64"/>
    </row>
    <row r="965" spans="13:13" ht="13.2">
      <c r="M965" s="64"/>
    </row>
    <row r="966" spans="13:13" ht="13.2">
      <c r="M966" s="64"/>
    </row>
    <row r="967" spans="13:13" ht="13.2">
      <c r="M967" s="64"/>
    </row>
    <row r="968" spans="13:13" ht="13.2">
      <c r="M968" s="64"/>
    </row>
    <row r="969" spans="13:13" ht="13.2">
      <c r="M969" s="64"/>
    </row>
    <row r="970" spans="13:13" ht="13.2">
      <c r="M970" s="64"/>
    </row>
    <row r="971" spans="13:13" ht="13.2">
      <c r="M971" s="64"/>
    </row>
    <row r="972" spans="13:13" ht="13.2">
      <c r="M972" s="64"/>
    </row>
    <row r="973" spans="13:13" ht="13.2">
      <c r="M973" s="64"/>
    </row>
    <row r="974" spans="13:13" ht="13.2">
      <c r="M974" s="64"/>
    </row>
    <row r="975" spans="13:13" ht="13.2">
      <c r="M975" s="64"/>
    </row>
    <row r="976" spans="13:13" ht="13.2">
      <c r="M976" s="64"/>
    </row>
    <row r="977" spans="13:13" ht="13.2">
      <c r="M977" s="64"/>
    </row>
    <row r="978" spans="13:13" ht="13.2">
      <c r="M978" s="64"/>
    </row>
    <row r="979" spans="13:13" ht="13.2">
      <c r="M979" s="64"/>
    </row>
    <row r="980" spans="13:13" ht="13.2">
      <c r="M980" s="64"/>
    </row>
    <row r="981" spans="13:13" ht="13.2">
      <c r="M981" s="64"/>
    </row>
    <row r="982" spans="13:13" ht="13.2">
      <c r="M982" s="64"/>
    </row>
    <row r="983" spans="13:13" ht="13.2">
      <c r="M983" s="64"/>
    </row>
    <row r="984" spans="13:13" ht="13.2">
      <c r="M984" s="64"/>
    </row>
    <row r="985" spans="13:13" ht="13.2">
      <c r="M985" s="64"/>
    </row>
    <row r="986" spans="13:13" ht="13.2">
      <c r="M986" s="64"/>
    </row>
    <row r="987" spans="13:13" ht="13.2">
      <c r="M987" s="64"/>
    </row>
    <row r="988" spans="13:13" ht="13.2">
      <c r="M988" s="64"/>
    </row>
    <row r="989" spans="13:13" ht="13.2">
      <c r="M989" s="64"/>
    </row>
    <row r="990" spans="13:13" ht="13.2">
      <c r="M990" s="64"/>
    </row>
    <row r="991" spans="13:13" ht="13.2">
      <c r="M991" s="64"/>
    </row>
    <row r="992" spans="13:13" ht="13.2">
      <c r="M992" s="64"/>
    </row>
    <row r="993" spans="1:13" ht="13.2">
      <c r="M993" s="64"/>
    </row>
    <row r="994" spans="1:13" ht="13.2">
      <c r="M994" s="64"/>
    </row>
    <row r="995" spans="1:13" ht="13.2">
      <c r="M995" s="64"/>
    </row>
    <row r="996" spans="1:13" ht="13.2">
      <c r="M996" s="64"/>
    </row>
    <row r="997" spans="1:13" ht="13.2">
      <c r="M997" s="64"/>
    </row>
    <row r="998" spans="1:13" ht="13.2">
      <c r="M998" s="64"/>
    </row>
    <row r="999" spans="1:13" ht="13.2">
      <c r="M999" s="64"/>
    </row>
    <row r="1000" spans="1:13" ht="13.2">
      <c r="M1000" s="64"/>
    </row>
    <row r="1001" spans="1:13" ht="13.2">
      <c r="M1001" s="64"/>
    </row>
    <row r="1002" spans="1:13" ht="13.2">
      <c r="M1002" s="64"/>
    </row>
    <row r="1003" spans="1:13" ht="13.2">
      <c r="M1003" s="64"/>
    </row>
    <row r="1004" spans="1:13" ht="13.2">
      <c r="M1004" s="64"/>
    </row>
    <row r="1005" spans="1:13" ht="13.2">
      <c r="A1005" s="63"/>
      <c r="B1005" s="64"/>
      <c r="C1005" s="64"/>
      <c r="D1005" s="64"/>
      <c r="E1005" s="64"/>
      <c r="F1005" s="64"/>
      <c r="G1005" s="64"/>
      <c r="H1005" s="64"/>
      <c r="I1005" s="64"/>
      <c r="J1005" s="64"/>
      <c r="K1005" s="64"/>
      <c r="L1005" s="64"/>
      <c r="M1005" s="64"/>
    </row>
    <row r="1006" spans="1:13" ht="13.2">
      <c r="A1006" s="63"/>
      <c r="B1006" s="64"/>
      <c r="C1006" s="64"/>
      <c r="D1006" s="64"/>
      <c r="E1006" s="64"/>
      <c r="F1006" s="64"/>
      <c r="G1006" s="64"/>
      <c r="H1006" s="64"/>
      <c r="I1006" s="64"/>
      <c r="J1006" s="64"/>
      <c r="K1006" s="64"/>
      <c r="L1006" s="64"/>
      <c r="M1006" s="64"/>
    </row>
    <row r="1007" spans="1:13" ht="13.2">
      <c r="A1007" s="63"/>
      <c r="B1007" s="64"/>
      <c r="C1007" s="64"/>
      <c r="D1007" s="64"/>
      <c r="E1007" s="64"/>
      <c r="F1007" s="64"/>
      <c r="G1007" s="64"/>
      <c r="H1007" s="64"/>
      <c r="I1007" s="64"/>
      <c r="J1007" s="64"/>
      <c r="K1007" s="64"/>
      <c r="L1007" s="64"/>
      <c r="M1007" s="64"/>
    </row>
    <row r="1008" spans="1:13" ht="13.2">
      <c r="A1008" s="63"/>
      <c r="B1008" s="64"/>
      <c r="C1008" s="64"/>
      <c r="D1008" s="64"/>
      <c r="E1008" s="64"/>
      <c r="F1008" s="64"/>
      <c r="G1008" s="64"/>
      <c r="H1008" s="64"/>
      <c r="I1008" s="64"/>
      <c r="J1008" s="64"/>
      <c r="K1008" s="64"/>
      <c r="L1008" s="64"/>
      <c r="M1008" s="64"/>
    </row>
    <row r="1009" spans="1:13" ht="13.2">
      <c r="A1009" s="63"/>
      <c r="B1009" s="64"/>
      <c r="C1009" s="64"/>
      <c r="D1009" s="64"/>
      <c r="E1009" s="64"/>
      <c r="F1009" s="64"/>
      <c r="G1009" s="64"/>
      <c r="H1009" s="64"/>
      <c r="I1009" s="64"/>
      <c r="J1009" s="64"/>
      <c r="K1009" s="64"/>
      <c r="L1009" s="64"/>
      <c r="M1009" s="64"/>
    </row>
    <row r="1010" spans="1:13" ht="13.2">
      <c r="A1010" s="63"/>
      <c r="B1010" s="64"/>
      <c r="C1010" s="64"/>
      <c r="D1010" s="64"/>
      <c r="E1010" s="64"/>
      <c r="F1010" s="64"/>
      <c r="G1010" s="64"/>
      <c r="H1010" s="64"/>
      <c r="I1010" s="64"/>
      <c r="J1010" s="64"/>
      <c r="K1010" s="64"/>
      <c r="L1010" s="64"/>
      <c r="M1010" s="64"/>
    </row>
    <row r="1011" spans="1:13" ht="13.2">
      <c r="A1011" s="63"/>
      <c r="B1011" s="64"/>
      <c r="C1011" s="64"/>
      <c r="D1011" s="64"/>
      <c r="E1011" s="64"/>
      <c r="F1011" s="64"/>
      <c r="G1011" s="64"/>
      <c r="H1011" s="64"/>
      <c r="I1011" s="64"/>
      <c r="J1011" s="64"/>
      <c r="K1011" s="64"/>
      <c r="L1011" s="64"/>
      <c r="M1011" s="64"/>
    </row>
    <row r="1012" spans="1:13" ht="13.2">
      <c r="A1012" s="63"/>
      <c r="B1012" s="64"/>
      <c r="C1012" s="64"/>
      <c r="D1012" s="64"/>
      <c r="E1012" s="64"/>
      <c r="F1012" s="64"/>
      <c r="G1012" s="64"/>
      <c r="H1012" s="64"/>
      <c r="I1012" s="64"/>
      <c r="J1012" s="64"/>
      <c r="K1012" s="64"/>
      <c r="L1012" s="64"/>
      <c r="M1012" s="64"/>
    </row>
    <row r="1013" spans="1:13" ht="13.2">
      <c r="A1013" s="63"/>
      <c r="B1013" s="64"/>
      <c r="C1013" s="64"/>
      <c r="D1013" s="64"/>
      <c r="E1013" s="64"/>
      <c r="F1013" s="64"/>
      <c r="G1013" s="64"/>
      <c r="H1013" s="64"/>
      <c r="I1013" s="64"/>
      <c r="J1013" s="64"/>
      <c r="K1013" s="64"/>
      <c r="L1013" s="64"/>
      <c r="M1013" s="64"/>
    </row>
    <row r="1014" spans="1:13" ht="13.2">
      <c r="A1014" s="63"/>
      <c r="B1014" s="64"/>
      <c r="C1014" s="64"/>
      <c r="D1014" s="64"/>
      <c r="E1014" s="64"/>
      <c r="F1014" s="64"/>
      <c r="G1014" s="64"/>
      <c r="H1014" s="64"/>
      <c r="I1014" s="64"/>
      <c r="J1014" s="64"/>
      <c r="K1014" s="64"/>
      <c r="L1014" s="64"/>
      <c r="M1014" s="64"/>
    </row>
    <row r="1015" spans="1:13" ht="13.2">
      <c r="A1015" s="63"/>
      <c r="B1015" s="64"/>
      <c r="C1015" s="64"/>
      <c r="D1015" s="64"/>
      <c r="E1015" s="64"/>
      <c r="F1015" s="64"/>
      <c r="G1015" s="64"/>
      <c r="H1015" s="64"/>
      <c r="I1015" s="64"/>
      <c r="J1015" s="64"/>
      <c r="K1015" s="64"/>
      <c r="L1015" s="64"/>
      <c r="M1015" s="64"/>
    </row>
    <row r="1016" spans="1:13" ht="13.2">
      <c r="A1016" s="63"/>
      <c r="B1016" s="64"/>
      <c r="C1016" s="64"/>
      <c r="D1016" s="64"/>
      <c r="E1016" s="64"/>
      <c r="F1016" s="64"/>
      <c r="G1016" s="64"/>
      <c r="H1016" s="64"/>
      <c r="I1016" s="64"/>
      <c r="J1016" s="64"/>
      <c r="K1016" s="64"/>
      <c r="L1016" s="64"/>
      <c r="M1016" s="64"/>
    </row>
    <row r="1017" spans="1:13" ht="13.2">
      <c r="A1017" s="63"/>
      <c r="B1017" s="64"/>
      <c r="C1017" s="64"/>
      <c r="D1017" s="64"/>
      <c r="E1017" s="64"/>
      <c r="F1017" s="64"/>
      <c r="G1017" s="64"/>
      <c r="H1017" s="64"/>
      <c r="I1017" s="64"/>
      <c r="J1017" s="64"/>
      <c r="K1017" s="64"/>
      <c r="L1017" s="64"/>
      <c r="M1017" s="64"/>
    </row>
    <row r="1018" spans="1:13" ht="13.2">
      <c r="A1018" s="63"/>
      <c r="B1018" s="64"/>
      <c r="C1018" s="64"/>
      <c r="D1018" s="64"/>
      <c r="E1018" s="64"/>
      <c r="F1018" s="64"/>
      <c r="G1018" s="64"/>
      <c r="H1018" s="64"/>
      <c r="I1018" s="64"/>
      <c r="J1018" s="64"/>
      <c r="K1018" s="64"/>
      <c r="L1018" s="64"/>
      <c r="M1018" s="64"/>
    </row>
    <row r="1019" spans="1:13" ht="13.2">
      <c r="A1019" s="63"/>
      <c r="B1019" s="64"/>
      <c r="C1019" s="64"/>
      <c r="D1019" s="64"/>
      <c r="E1019" s="64"/>
      <c r="F1019" s="64"/>
      <c r="G1019" s="64"/>
      <c r="H1019" s="64"/>
      <c r="I1019" s="64"/>
      <c r="J1019" s="64"/>
      <c r="K1019" s="64"/>
      <c r="L1019" s="64"/>
      <c r="M1019" s="64"/>
    </row>
    <row r="1020" spans="1:13" ht="13.2">
      <c r="A1020" s="63"/>
      <c r="B1020" s="64"/>
      <c r="C1020" s="64"/>
      <c r="D1020" s="64"/>
      <c r="E1020" s="64"/>
      <c r="F1020" s="64"/>
      <c r="G1020" s="64"/>
      <c r="H1020" s="64"/>
      <c r="I1020" s="64"/>
      <c r="J1020" s="64"/>
      <c r="K1020" s="64"/>
      <c r="L1020" s="64"/>
      <c r="M1020" s="64"/>
    </row>
    <row r="1021" spans="1:13" ht="13.2">
      <c r="A1021" s="63"/>
      <c r="B1021" s="64"/>
      <c r="C1021" s="64"/>
      <c r="D1021" s="64"/>
      <c r="E1021" s="64"/>
      <c r="F1021" s="64"/>
      <c r="G1021" s="64"/>
      <c r="H1021" s="64"/>
      <c r="I1021" s="64"/>
      <c r="J1021" s="64"/>
      <c r="K1021" s="64"/>
      <c r="L1021" s="64"/>
      <c r="M1021" s="64"/>
    </row>
    <row r="1022" spans="1:13" ht="13.2">
      <c r="A1022" s="63"/>
      <c r="B1022" s="64"/>
      <c r="C1022" s="64"/>
      <c r="D1022" s="64"/>
      <c r="E1022" s="64"/>
      <c r="F1022" s="64"/>
      <c r="G1022" s="64"/>
      <c r="H1022" s="64"/>
      <c r="I1022" s="64"/>
      <c r="J1022" s="64"/>
      <c r="K1022" s="64"/>
      <c r="L1022" s="64"/>
      <c r="M1022" s="64"/>
    </row>
    <row r="1023" spans="1:13" ht="13.2">
      <c r="A1023" s="63"/>
      <c r="B1023" s="64"/>
      <c r="C1023" s="64"/>
      <c r="D1023" s="64"/>
      <c r="E1023" s="64"/>
      <c r="F1023" s="64"/>
      <c r="G1023" s="64"/>
      <c r="H1023" s="64"/>
      <c r="I1023" s="64"/>
      <c r="J1023" s="64"/>
      <c r="K1023" s="64"/>
      <c r="L1023" s="64"/>
      <c r="M1023" s="64"/>
    </row>
    <row r="1024" spans="1:13" ht="13.2">
      <c r="A1024" s="63"/>
      <c r="B1024" s="64"/>
      <c r="C1024" s="64"/>
      <c r="D1024" s="64"/>
      <c r="E1024" s="64"/>
      <c r="F1024" s="64"/>
      <c r="G1024" s="64"/>
      <c r="H1024" s="64"/>
      <c r="I1024" s="64"/>
      <c r="J1024" s="64"/>
      <c r="K1024" s="64"/>
      <c r="L1024" s="64"/>
      <c r="M1024" s="64"/>
    </row>
    <row r="1025" spans="1:13" ht="13.2">
      <c r="A1025" s="63"/>
      <c r="B1025" s="64"/>
      <c r="C1025" s="64"/>
      <c r="D1025" s="64"/>
      <c r="E1025" s="64"/>
      <c r="F1025" s="64"/>
      <c r="G1025" s="64"/>
      <c r="H1025" s="64"/>
      <c r="I1025" s="64"/>
      <c r="J1025" s="64"/>
      <c r="K1025" s="64"/>
      <c r="L1025" s="64"/>
      <c r="M1025" s="64"/>
    </row>
    <row r="1026" spans="1:13" ht="13.2">
      <c r="A1026" s="63"/>
      <c r="B1026" s="64"/>
      <c r="C1026" s="64"/>
      <c r="D1026" s="64"/>
      <c r="E1026" s="64"/>
      <c r="F1026" s="64"/>
      <c r="G1026" s="64"/>
      <c r="H1026" s="64"/>
      <c r="I1026" s="64"/>
      <c r="J1026" s="64"/>
      <c r="K1026" s="64"/>
      <c r="L1026" s="64"/>
      <c r="M1026" s="64"/>
    </row>
    <row r="1027" spans="1:13" ht="13.2">
      <c r="A1027" s="63"/>
      <c r="B1027" s="64"/>
      <c r="C1027" s="64"/>
      <c r="D1027" s="64"/>
      <c r="E1027" s="64"/>
      <c r="F1027" s="64"/>
      <c r="G1027" s="64"/>
      <c r="H1027" s="64"/>
      <c r="I1027" s="64"/>
      <c r="J1027" s="64"/>
      <c r="K1027" s="64"/>
      <c r="L1027" s="64"/>
      <c r="M1027" s="64"/>
    </row>
    <row r="1028" spans="1:13" ht="13.2">
      <c r="A1028" s="63"/>
      <c r="B1028" s="64"/>
      <c r="C1028" s="64"/>
      <c r="D1028" s="64"/>
      <c r="E1028" s="64"/>
      <c r="F1028" s="64"/>
      <c r="G1028" s="64"/>
      <c r="H1028" s="64"/>
      <c r="I1028" s="64"/>
      <c r="J1028" s="64"/>
      <c r="K1028" s="64"/>
      <c r="L1028" s="64"/>
      <c r="M1028" s="64"/>
    </row>
    <row r="1029" spans="1:13" ht="13.2">
      <c r="A1029" s="63"/>
      <c r="B1029" s="64"/>
      <c r="C1029" s="64"/>
      <c r="D1029" s="64"/>
      <c r="E1029" s="64"/>
      <c r="F1029" s="64"/>
      <c r="G1029" s="64"/>
      <c r="H1029" s="64"/>
      <c r="I1029" s="64"/>
      <c r="J1029" s="64"/>
      <c r="K1029" s="64"/>
      <c r="L1029" s="64"/>
      <c r="M1029" s="64"/>
    </row>
    <row r="1030" spans="1:13" ht="13.2">
      <c r="A1030" s="63"/>
      <c r="B1030" s="64"/>
      <c r="C1030" s="64"/>
      <c r="D1030" s="64"/>
      <c r="E1030" s="64"/>
      <c r="F1030" s="64"/>
      <c r="G1030" s="64"/>
      <c r="H1030" s="64"/>
      <c r="I1030" s="64"/>
      <c r="J1030" s="64"/>
      <c r="K1030" s="64"/>
      <c r="L1030" s="64"/>
      <c r="M1030" s="64"/>
    </row>
    <row r="1031" spans="1:13" ht="13.2">
      <c r="A1031" s="63"/>
      <c r="B1031" s="64"/>
      <c r="C1031" s="64"/>
      <c r="D1031" s="64"/>
      <c r="E1031" s="64"/>
      <c r="F1031" s="64"/>
      <c r="G1031" s="64"/>
      <c r="H1031" s="64"/>
      <c r="I1031" s="64"/>
      <c r="J1031" s="64"/>
      <c r="K1031" s="64"/>
      <c r="L1031" s="64"/>
      <c r="M1031" s="64"/>
    </row>
    <row r="1032" spans="1:13" ht="13.2">
      <c r="A1032" s="63"/>
      <c r="B1032" s="64"/>
      <c r="C1032" s="64"/>
      <c r="D1032" s="64"/>
      <c r="E1032" s="64"/>
      <c r="F1032" s="64"/>
      <c r="G1032" s="64"/>
      <c r="H1032" s="64"/>
      <c r="I1032" s="64"/>
      <c r="J1032" s="64"/>
      <c r="K1032" s="64"/>
      <c r="L1032" s="64"/>
      <c r="M1032" s="64"/>
    </row>
    <row r="1033" spans="1:13" ht="13.2">
      <c r="A1033" s="63"/>
      <c r="B1033" s="64"/>
      <c r="C1033" s="64"/>
      <c r="D1033" s="64"/>
      <c r="E1033" s="64"/>
      <c r="F1033" s="64"/>
      <c r="G1033" s="64"/>
      <c r="H1033" s="64"/>
      <c r="I1033" s="64"/>
      <c r="J1033" s="64"/>
      <c r="K1033" s="64"/>
      <c r="L1033" s="64"/>
      <c r="M1033" s="64"/>
    </row>
    <row r="1034" spans="1:13" ht="13.2">
      <c r="A1034" s="63"/>
      <c r="B1034" s="64"/>
      <c r="C1034" s="64"/>
      <c r="D1034" s="64"/>
      <c r="E1034" s="64"/>
      <c r="F1034" s="64"/>
      <c r="G1034" s="64"/>
      <c r="H1034" s="64"/>
      <c r="I1034" s="64"/>
      <c r="J1034" s="64"/>
      <c r="K1034" s="64"/>
      <c r="L1034" s="64"/>
      <c r="M1034" s="64"/>
    </row>
    <row r="1035" spans="1:13" ht="13.2">
      <c r="A1035" s="63"/>
      <c r="B1035" s="64"/>
      <c r="C1035" s="64"/>
      <c r="D1035" s="64"/>
      <c r="E1035" s="64"/>
      <c r="F1035" s="64"/>
      <c r="G1035" s="64"/>
      <c r="H1035" s="64"/>
      <c r="I1035" s="64"/>
      <c r="J1035" s="64"/>
      <c r="K1035" s="64"/>
      <c r="L1035" s="64"/>
      <c r="M1035" s="64"/>
    </row>
    <row r="1036" spans="1:13" ht="13.2">
      <c r="A1036" s="63"/>
      <c r="B1036" s="64"/>
      <c r="C1036" s="64"/>
      <c r="D1036" s="64"/>
      <c r="E1036" s="64"/>
      <c r="F1036" s="64"/>
      <c r="G1036" s="64"/>
      <c r="H1036" s="64"/>
      <c r="I1036" s="64"/>
      <c r="J1036" s="64"/>
      <c r="K1036" s="64"/>
      <c r="L1036" s="64"/>
      <c r="M1036" s="64"/>
    </row>
    <row r="1037" spans="1:13" ht="13.2">
      <c r="A1037" s="63"/>
      <c r="B1037" s="64"/>
      <c r="C1037" s="64"/>
      <c r="D1037" s="64"/>
      <c r="E1037" s="64"/>
      <c r="F1037" s="64"/>
      <c r="G1037" s="64"/>
      <c r="H1037" s="64"/>
      <c r="I1037" s="64"/>
      <c r="J1037" s="64"/>
      <c r="K1037" s="64"/>
      <c r="L1037" s="64"/>
      <c r="M1037" s="64"/>
    </row>
    <row r="1038" spans="1:13" ht="13.2">
      <c r="A1038" s="63"/>
      <c r="B1038" s="64"/>
      <c r="C1038" s="64"/>
      <c r="D1038" s="64"/>
      <c r="E1038" s="64"/>
      <c r="F1038" s="64"/>
      <c r="G1038" s="64"/>
      <c r="H1038" s="64"/>
      <c r="I1038" s="64"/>
      <c r="J1038" s="64"/>
      <c r="K1038" s="64"/>
      <c r="L1038" s="64"/>
      <c r="M1038" s="64"/>
    </row>
    <row r="1039" spans="1:13" ht="13.2">
      <c r="A1039" s="63"/>
      <c r="B1039" s="64"/>
      <c r="C1039" s="64"/>
      <c r="D1039" s="64"/>
      <c r="E1039" s="64"/>
      <c r="F1039" s="64"/>
      <c r="G1039" s="64"/>
      <c r="H1039" s="64"/>
      <c r="I1039" s="64"/>
      <c r="J1039" s="64"/>
      <c r="K1039" s="64"/>
      <c r="L1039" s="64"/>
      <c r="M1039" s="64"/>
    </row>
    <row r="1040" spans="1:13" ht="13.2">
      <c r="A1040" s="63"/>
      <c r="B1040" s="64"/>
      <c r="C1040" s="64"/>
      <c r="D1040" s="64"/>
      <c r="E1040" s="64"/>
      <c r="F1040" s="64"/>
      <c r="G1040" s="64"/>
      <c r="H1040" s="64"/>
      <c r="I1040" s="64"/>
      <c r="J1040" s="64"/>
      <c r="K1040" s="64"/>
      <c r="L1040" s="64"/>
      <c r="M1040" s="64"/>
    </row>
  </sheetData>
  <conditionalFormatting sqref="A1:AP1">
    <cfRule type="notContainsBlanks" dxfId="0" priority="1">
      <formula>LEN(TRIM(A1))&gt;0</formula>
    </cfRule>
  </conditionalFormatting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location=":~:text=Ahmad%20et%20al.%20%282013%29%20has%20removed%20chromium%20using,a%20removal%20of%20more%20than%2090%25%20was%20obtained.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3" r:id="rId31" xr:uid="{00000000-0004-0000-0000-00001E000000}"/>
    <hyperlink ref="M34" r:id="rId32" xr:uid="{00000000-0004-0000-0000-00001F000000}"/>
    <hyperlink ref="M35" r:id="rId33" xr:uid="{00000000-0004-0000-0000-000020000000}"/>
    <hyperlink ref="M36" r:id="rId34" xr:uid="{00000000-0004-0000-0000-000021000000}"/>
    <hyperlink ref="M37" r:id="rId35" xr:uid="{00000000-0004-0000-0000-000022000000}"/>
    <hyperlink ref="M38" r:id="rId36" xr:uid="{00000000-0004-0000-0000-000023000000}"/>
    <hyperlink ref="M39" r:id="rId37" xr:uid="{00000000-0004-0000-0000-000024000000}"/>
    <hyperlink ref="M40" r:id="rId38" xr:uid="{00000000-0004-0000-0000-000025000000}"/>
    <hyperlink ref="M41" r:id="rId39" xr:uid="{00000000-0004-0000-0000-000026000000}"/>
    <hyperlink ref="M42" r:id="rId40" xr:uid="{00000000-0004-0000-0000-000027000000}"/>
    <hyperlink ref="M43" r:id="rId41" xr:uid="{00000000-0004-0000-0000-000028000000}"/>
    <hyperlink ref="M44" r:id="rId42" xr:uid="{00000000-0004-0000-0000-000029000000}"/>
    <hyperlink ref="M45" r:id="rId43" xr:uid="{00000000-0004-0000-0000-00002A000000}"/>
    <hyperlink ref="M46" r:id="rId44" xr:uid="{00000000-0004-0000-0000-00002B000000}"/>
    <hyperlink ref="M47" r:id="rId45" xr:uid="{00000000-0004-0000-0000-00002C000000}"/>
    <hyperlink ref="M48" r:id="rId46" xr:uid="{00000000-0004-0000-0000-00002D000000}"/>
    <hyperlink ref="M49" r:id="rId47" xr:uid="{00000000-0004-0000-0000-00002E000000}"/>
    <hyperlink ref="M50" r:id="rId48" xr:uid="{00000000-0004-0000-0000-00002F000000}"/>
    <hyperlink ref="M51" r:id="rId49" xr:uid="{00000000-0004-0000-0000-000030000000}"/>
    <hyperlink ref="M52" r:id="rId50" xr:uid="{00000000-0004-0000-0000-000031000000}"/>
    <hyperlink ref="M53" r:id="rId51" xr:uid="{00000000-0004-0000-0000-000032000000}"/>
    <hyperlink ref="M54" r:id="rId52" xr:uid="{00000000-0004-0000-0000-000033000000}"/>
    <hyperlink ref="M55" r:id="rId53" xr:uid="{00000000-0004-0000-0000-000034000000}"/>
    <hyperlink ref="M56" r:id="rId54" xr:uid="{00000000-0004-0000-0000-000035000000}"/>
    <hyperlink ref="M57" r:id="rId55" xr:uid="{00000000-0004-0000-0000-000036000000}"/>
    <hyperlink ref="M58" r:id="rId56" xr:uid="{00000000-0004-0000-0000-000037000000}"/>
    <hyperlink ref="M59" r:id="rId57" xr:uid="{00000000-0004-0000-0000-000038000000}"/>
    <hyperlink ref="M60" r:id="rId58" xr:uid="{00000000-0004-0000-0000-000039000000}"/>
    <hyperlink ref="M61" r:id="rId59" xr:uid="{00000000-0004-0000-0000-00003A000000}"/>
    <hyperlink ref="M62" r:id="rId60" location="d1e466" xr:uid="{00000000-0004-0000-0000-00003B000000}"/>
    <hyperlink ref="M63" r:id="rId61" xr:uid="{00000000-0004-0000-0000-00003C000000}"/>
    <hyperlink ref="M64" r:id="rId62" xr:uid="{00000000-0004-0000-0000-00003D000000}"/>
    <hyperlink ref="M65" r:id="rId63" xr:uid="{00000000-0004-0000-0000-00003E000000}"/>
    <hyperlink ref="M66" r:id="rId64" xr:uid="{00000000-0004-0000-0000-00003F000000}"/>
    <hyperlink ref="M67" r:id="rId65" xr:uid="{00000000-0004-0000-0000-000040000000}"/>
    <hyperlink ref="M68" r:id="rId66" xr:uid="{00000000-0004-0000-0000-000041000000}"/>
    <hyperlink ref="M69" r:id="rId67" xr:uid="{00000000-0004-0000-0000-000042000000}"/>
    <hyperlink ref="M70" r:id="rId68" xr:uid="{00000000-0004-0000-0000-000043000000}"/>
    <hyperlink ref="M71" r:id="rId69" xr:uid="{00000000-0004-0000-0000-000044000000}"/>
    <hyperlink ref="M72" r:id="rId70" xr:uid="{00000000-0004-0000-0000-000045000000}"/>
    <hyperlink ref="M73" r:id="rId71" xr:uid="{00000000-0004-0000-0000-000046000000}"/>
    <hyperlink ref="M74" r:id="rId72" xr:uid="{00000000-0004-0000-0000-000047000000}"/>
    <hyperlink ref="M75" r:id="rId73" xr:uid="{00000000-0004-0000-0000-000048000000}"/>
    <hyperlink ref="M76" r:id="rId74" xr:uid="{00000000-0004-0000-0000-000049000000}"/>
    <hyperlink ref="M77" r:id="rId75" xr:uid="{00000000-0004-0000-0000-00004A000000}"/>
    <hyperlink ref="M78" r:id="rId76" xr:uid="{00000000-0004-0000-0000-00004B000000}"/>
    <hyperlink ref="M79" r:id="rId77" xr:uid="{00000000-0004-0000-0000-00004C000000}"/>
    <hyperlink ref="M80" r:id="rId78" xr:uid="{00000000-0004-0000-0000-00004D000000}"/>
    <hyperlink ref="M81" r:id="rId79" xr:uid="{00000000-0004-0000-0000-00004E000000}"/>
    <hyperlink ref="L82" r:id="rId80" location="bib3" xr:uid="{00000000-0004-0000-0000-00004F000000}"/>
    <hyperlink ref="M82" r:id="rId81" location="bib3" xr:uid="{00000000-0004-0000-0000-000050000000}"/>
    <hyperlink ref="L83" r:id="rId82" location="bib65" xr:uid="{00000000-0004-0000-0000-000051000000}"/>
    <hyperlink ref="M83" r:id="rId83" xr:uid="{00000000-0004-0000-0000-000052000000}"/>
    <hyperlink ref="L84" r:id="rId84" location="bib89" xr:uid="{00000000-0004-0000-0000-000053000000}"/>
    <hyperlink ref="M84" r:id="rId85" xr:uid="{00000000-0004-0000-0000-000054000000}"/>
    <hyperlink ref="L85" r:id="rId86" location="bib105" xr:uid="{00000000-0004-0000-0000-000055000000}"/>
    <hyperlink ref="M85" r:id="rId87" xr:uid="{00000000-0004-0000-0000-000056000000}"/>
    <hyperlink ref="L86" r:id="rId88" location="bib135" xr:uid="{00000000-0004-0000-0000-000057000000}"/>
    <hyperlink ref="M86" r:id="rId89" xr:uid="{00000000-0004-0000-0000-000058000000}"/>
    <hyperlink ref="L87" r:id="rId90" location="bib134" xr:uid="{00000000-0004-0000-0000-000059000000}"/>
    <hyperlink ref="M87" r:id="rId91" xr:uid="{00000000-0004-0000-0000-00005A000000}"/>
    <hyperlink ref="L88" r:id="rId92" location="bib134" xr:uid="{00000000-0004-0000-0000-00005B000000}"/>
    <hyperlink ref="M88" r:id="rId93" xr:uid="{00000000-0004-0000-0000-00005C000000}"/>
    <hyperlink ref="L89" r:id="rId94" location="bib184" xr:uid="{00000000-0004-0000-0000-00005D000000}"/>
    <hyperlink ref="M89" r:id="rId95" xr:uid="{00000000-0004-0000-0000-00005E000000}"/>
    <hyperlink ref="L90" r:id="rId96" location="bib52" xr:uid="{00000000-0004-0000-0000-00005F000000}"/>
    <hyperlink ref="M90" r:id="rId97" xr:uid="{00000000-0004-0000-0000-000060000000}"/>
    <hyperlink ref="L91" r:id="rId98" location="bib52" xr:uid="{00000000-0004-0000-0000-000061000000}"/>
    <hyperlink ref="L92" r:id="rId99" location="bib52" xr:uid="{00000000-0004-0000-0000-000062000000}"/>
    <hyperlink ref="L93" r:id="rId100" location="bib52" xr:uid="{00000000-0004-0000-0000-000063000000}"/>
    <hyperlink ref="L94" r:id="rId101" location="bib52" xr:uid="{00000000-0004-0000-0000-000064000000}"/>
    <hyperlink ref="L95" r:id="rId102" location="mrxab3ffbbib86" xr:uid="{00000000-0004-0000-0000-000065000000}"/>
    <hyperlink ref="M95" r:id="rId103" xr:uid="{00000000-0004-0000-0000-000066000000}"/>
    <hyperlink ref="L96" r:id="rId104" location="mrxab3ffbbib87" xr:uid="{00000000-0004-0000-0000-000067000000}"/>
    <hyperlink ref="M96" r:id="rId105" xr:uid="{00000000-0004-0000-0000-000068000000}"/>
    <hyperlink ref="L97" r:id="rId106" location="mrxab3ffbbib88" xr:uid="{00000000-0004-0000-0000-000069000000}"/>
    <hyperlink ref="M97" r:id="rId107" xr:uid="{00000000-0004-0000-0000-00006A000000}"/>
    <hyperlink ref="L99" r:id="rId108" location="mrxab3ffbbib94" xr:uid="{00000000-0004-0000-0000-00006B000000}"/>
    <hyperlink ref="M99" r:id="rId109" location="mrxab3ffbbib86" xr:uid="{00000000-0004-0000-0000-00006C000000}"/>
    <hyperlink ref="L100" r:id="rId110" location="bib0090" xr:uid="{00000000-0004-0000-0000-00006D000000}"/>
    <hyperlink ref="L101" r:id="rId111" location="bib0054" xr:uid="{00000000-0004-0000-0000-00006E000000}"/>
    <hyperlink ref="M101" r:id="rId112" xr:uid="{00000000-0004-0000-0000-00006F000000}"/>
    <hyperlink ref="L102" r:id="rId113" location="bib0090" xr:uid="{00000000-0004-0000-0000-000070000000}"/>
    <hyperlink ref="M102" r:id="rId114" xr:uid="{00000000-0004-0000-0000-000071000000}"/>
    <hyperlink ref="L103" r:id="rId115" location="bib0083" xr:uid="{00000000-0004-0000-0000-000072000000}"/>
    <hyperlink ref="M103" r:id="rId116" xr:uid="{00000000-0004-0000-0000-000073000000}"/>
    <hyperlink ref="L104" r:id="rId117" location="bib0061" xr:uid="{00000000-0004-0000-0000-000074000000}"/>
    <hyperlink ref="M104" r:id="rId118" xr:uid="{00000000-0004-0000-0000-000075000000}"/>
    <hyperlink ref="L105" r:id="rId119" location="bib0073" xr:uid="{00000000-0004-0000-0000-000076000000}"/>
    <hyperlink ref="M105" r:id="rId120" xr:uid="{00000000-0004-0000-0000-000077000000}"/>
    <hyperlink ref="L106" r:id="rId121" location="bib0018" xr:uid="{00000000-0004-0000-0000-000078000000}"/>
    <hyperlink ref="M106" r:id="rId122" xr:uid="{00000000-0004-0000-0000-000079000000}"/>
    <hyperlink ref="L107" r:id="rId123" location="bib0111" xr:uid="{00000000-0004-0000-0000-00007A000000}"/>
    <hyperlink ref="L108" r:id="rId124" location="bib0100" xr:uid="{00000000-0004-0000-0000-00007B000000}"/>
    <hyperlink ref="M108" r:id="rId125" xr:uid="{00000000-0004-0000-0000-00007C000000}"/>
    <hyperlink ref="L109" r:id="rId126" location="bib0084" xr:uid="{00000000-0004-0000-0000-00007D000000}"/>
    <hyperlink ref="M109" r:id="rId127" xr:uid="{00000000-0004-0000-0000-00007E000000}"/>
    <hyperlink ref="L110" r:id="rId128" location="bib0082" xr:uid="{00000000-0004-0000-0000-00007F000000}"/>
    <hyperlink ref="M110" r:id="rId129" xr:uid="{00000000-0004-0000-0000-000080000000}"/>
    <hyperlink ref="L111" r:id="rId130" location="bib0083" xr:uid="{00000000-0004-0000-0000-000081000000}"/>
    <hyperlink ref="M111" r:id="rId131" xr:uid="{00000000-0004-0000-0000-000082000000}"/>
    <hyperlink ref="L112" r:id="rId132" location="bib0018" xr:uid="{00000000-0004-0000-0000-000083000000}"/>
    <hyperlink ref="M112" r:id="rId133" xr:uid="{00000000-0004-0000-0000-000084000000}"/>
    <hyperlink ref="L113" r:id="rId134" location="bib0091" xr:uid="{00000000-0004-0000-0000-000085000000}"/>
    <hyperlink ref="M113" r:id="rId135" xr:uid="{00000000-0004-0000-0000-000086000000}"/>
    <hyperlink ref="L114" r:id="rId136" location="bib0084" xr:uid="{00000000-0004-0000-0000-000087000000}"/>
    <hyperlink ref="M114" r:id="rId137" xr:uid="{00000000-0004-0000-0000-000088000000}"/>
    <hyperlink ref="L115" r:id="rId138" location="bib0085" xr:uid="{00000000-0004-0000-0000-000089000000}"/>
    <hyperlink ref="M115" r:id="rId139" xr:uid="{00000000-0004-0000-0000-00008A000000}"/>
    <hyperlink ref="L116" r:id="rId140" location="bib0086" xr:uid="{00000000-0004-0000-0000-00008B000000}"/>
    <hyperlink ref="M116" r:id="rId141" xr:uid="{00000000-0004-0000-0000-00008C000000}"/>
    <hyperlink ref="L117" r:id="rId142" location="bib0140" xr:uid="{00000000-0004-0000-0000-00008D000000}"/>
    <hyperlink ref="M117" r:id="rId143" xr:uid="{00000000-0004-0000-0000-00008E000000}"/>
    <hyperlink ref="L118" r:id="rId144" location="bib0140" xr:uid="{00000000-0004-0000-0000-00008F000000}"/>
    <hyperlink ref="M118" r:id="rId145" xr:uid="{00000000-0004-0000-0000-000090000000}"/>
    <hyperlink ref="L119" r:id="rId146" location="bib0113" xr:uid="{00000000-0004-0000-0000-000091000000}"/>
    <hyperlink ref="M119" r:id="rId147" xr:uid="{00000000-0004-0000-0000-000092000000}"/>
    <hyperlink ref="L120" r:id="rId148" location="bib0113" xr:uid="{00000000-0004-0000-0000-000093000000}"/>
    <hyperlink ref="M120" r:id="rId149" xr:uid="{00000000-0004-0000-0000-000094000000}"/>
    <hyperlink ref="L121" r:id="rId150" location="bib0084" xr:uid="{00000000-0004-0000-0000-000095000000}"/>
    <hyperlink ref="M121" r:id="rId151" xr:uid="{00000000-0004-0000-0000-000096000000}"/>
    <hyperlink ref="L122" r:id="rId152" location="mrxab3ffbbib99" xr:uid="{00000000-0004-0000-0000-000097000000}"/>
    <hyperlink ref="M122" r:id="rId153" location="mrxab3ffbbib99" xr:uid="{00000000-0004-0000-0000-000098000000}"/>
    <hyperlink ref="L123" r:id="rId154" location="mrxab3ffbbib100" xr:uid="{00000000-0004-0000-0000-000099000000}"/>
    <hyperlink ref="M123" r:id="rId155" location="mrxab3ffbbib99" xr:uid="{00000000-0004-0000-0000-00009A000000}"/>
    <hyperlink ref="L124" r:id="rId156" location="mrxab3ffbbib101" xr:uid="{00000000-0004-0000-0000-00009B000000}"/>
    <hyperlink ref="M124" r:id="rId157" location="mrxab3ffbbib99" xr:uid="{00000000-0004-0000-0000-00009C000000}"/>
    <hyperlink ref="L125" r:id="rId158" location="mrxab3ffbbib102" xr:uid="{00000000-0004-0000-0000-00009D000000}"/>
    <hyperlink ref="M125" r:id="rId159" location="mrxab3ffbbib99" xr:uid="{00000000-0004-0000-0000-00009E000000}"/>
    <hyperlink ref="L126" r:id="rId160" location="mrxab3ffbbib103" xr:uid="{00000000-0004-0000-0000-00009F000000}"/>
    <hyperlink ref="M126" r:id="rId161" location="mrxab3ffbbib99" xr:uid="{00000000-0004-0000-0000-0000A0000000}"/>
    <hyperlink ref="L127" r:id="rId162" location="mrxab3ffbbib104" xr:uid="{00000000-0004-0000-0000-0000A1000000}"/>
    <hyperlink ref="M127" r:id="rId163" location="mrxab3ffbbib99" xr:uid="{00000000-0004-0000-0000-0000A2000000}"/>
    <hyperlink ref="L128" r:id="rId164" location="mrxab3ffbbib105" xr:uid="{00000000-0004-0000-0000-0000A3000000}"/>
    <hyperlink ref="M128" r:id="rId165" location="mrxab3ffbbib99" xr:uid="{00000000-0004-0000-0000-0000A4000000}"/>
    <hyperlink ref="L129" r:id="rId166" location="mrxab3ffbbib106" xr:uid="{00000000-0004-0000-0000-0000A5000000}"/>
    <hyperlink ref="M129" r:id="rId167" location="mrxab3ffbbib99" xr:uid="{00000000-0004-0000-0000-0000A6000000}"/>
    <hyperlink ref="L130" r:id="rId168" location="mrxab3ffbbib107" xr:uid="{00000000-0004-0000-0000-0000A7000000}"/>
    <hyperlink ref="M130" r:id="rId169" location="mrxab3ffbbib99" xr:uid="{00000000-0004-0000-0000-0000A8000000}"/>
    <hyperlink ref="L131" r:id="rId170" location="mrxab3ffbbib108" xr:uid="{00000000-0004-0000-0000-0000A9000000}"/>
    <hyperlink ref="M131" r:id="rId171" location="mrxab3ffbbib99" xr:uid="{00000000-0004-0000-0000-0000AA000000}"/>
    <hyperlink ref="L132" r:id="rId172" location="bib13" xr:uid="{00000000-0004-0000-0000-0000AB000000}"/>
    <hyperlink ref="M132" r:id="rId173" xr:uid="{00000000-0004-0000-0000-0000AC000000}"/>
    <hyperlink ref="L133" r:id="rId174" location="bib13" xr:uid="{00000000-0004-0000-0000-0000AD000000}"/>
    <hyperlink ref="L134" r:id="rId175" location="bib13" xr:uid="{00000000-0004-0000-0000-0000AE000000}"/>
    <hyperlink ref="L135" r:id="rId176" location="bib13" xr:uid="{00000000-0004-0000-0000-0000AF000000}"/>
    <hyperlink ref="L136" r:id="rId177" location="bib62" xr:uid="{00000000-0004-0000-0000-0000B0000000}"/>
    <hyperlink ref="M136" r:id="rId178" xr:uid="{00000000-0004-0000-0000-0000B1000000}"/>
    <hyperlink ref="L137" r:id="rId179" location="bib62" xr:uid="{00000000-0004-0000-0000-0000B2000000}"/>
    <hyperlink ref="L138" r:id="rId180" location="bib62" xr:uid="{00000000-0004-0000-0000-0000B3000000}"/>
    <hyperlink ref="L139" r:id="rId181" location="bib62" xr:uid="{00000000-0004-0000-0000-0000B4000000}"/>
    <hyperlink ref="L140" r:id="rId182" location="bib62" xr:uid="{00000000-0004-0000-0000-0000B5000000}"/>
    <hyperlink ref="L141" r:id="rId183" location="bib80" xr:uid="{00000000-0004-0000-0000-0000B6000000}"/>
    <hyperlink ref="M141" r:id="rId184" xr:uid="{00000000-0004-0000-0000-0000B7000000}"/>
    <hyperlink ref="L142" r:id="rId185" location="bib44" xr:uid="{00000000-0004-0000-0000-0000B8000000}"/>
    <hyperlink ref="M142" r:id="rId186" xr:uid="{00000000-0004-0000-0000-0000B9000000}"/>
    <hyperlink ref="L143" r:id="rId187" location="bib9" xr:uid="{00000000-0004-0000-0000-0000BA000000}"/>
    <hyperlink ref="M143" r:id="rId188" xr:uid="{00000000-0004-0000-0000-0000BB000000}"/>
    <hyperlink ref="L144" r:id="rId189" location="bib9" xr:uid="{00000000-0004-0000-0000-0000BC000000}"/>
    <hyperlink ref="M144" r:id="rId190" xr:uid="{00000000-0004-0000-0000-0000BD000000}"/>
    <hyperlink ref="L145" r:id="rId191" location="bib9" xr:uid="{00000000-0004-0000-0000-0000BE000000}"/>
    <hyperlink ref="M145" r:id="rId192" xr:uid="{00000000-0004-0000-0000-0000BF000000}"/>
    <hyperlink ref="L146" r:id="rId193" location="bib26" xr:uid="{00000000-0004-0000-0000-0000C0000000}"/>
    <hyperlink ref="M146" r:id="rId194" xr:uid="{00000000-0004-0000-0000-0000C1000000}"/>
    <hyperlink ref="L147" r:id="rId195" location="bib97" xr:uid="{00000000-0004-0000-0000-0000C2000000}"/>
    <hyperlink ref="M147" r:id="rId196" xr:uid="{00000000-0004-0000-0000-0000C3000000}"/>
    <hyperlink ref="L148" r:id="rId197" location="bib17" xr:uid="{00000000-0004-0000-0000-0000C4000000}"/>
    <hyperlink ref="M148" r:id="rId198" xr:uid="{00000000-0004-0000-0000-0000C5000000}"/>
    <hyperlink ref="M149" r:id="rId199" xr:uid="{00000000-0004-0000-0000-0000C6000000}"/>
    <hyperlink ref="M150" r:id="rId200" xr:uid="{00000000-0004-0000-0000-0000C7000000}"/>
    <hyperlink ref="M151" r:id="rId201" xr:uid="{00000000-0004-0000-0000-0000C8000000}"/>
    <hyperlink ref="M152" r:id="rId202" xr:uid="{00000000-0004-0000-0000-0000C9000000}"/>
    <hyperlink ref="M153" r:id="rId203" xr:uid="{00000000-0004-0000-0000-0000CA000000}"/>
    <hyperlink ref="M154" r:id="rId204" xr:uid="{00000000-0004-0000-0000-0000CB000000}"/>
    <hyperlink ref="L155" r:id="rId205" location="bib150" xr:uid="{00000000-0004-0000-0000-0000CC000000}"/>
    <hyperlink ref="M155" r:id="rId206" xr:uid="{00000000-0004-0000-0000-0000CD000000}"/>
    <hyperlink ref="L156" r:id="rId207" location="bib150" xr:uid="{00000000-0004-0000-0000-0000CE000000}"/>
    <hyperlink ref="M156" r:id="rId208" xr:uid="{00000000-0004-0000-0000-0000CF000000}"/>
    <hyperlink ref="L157" r:id="rId209" location="bib150" xr:uid="{00000000-0004-0000-0000-0000D0000000}"/>
    <hyperlink ref="M157" r:id="rId210" xr:uid="{00000000-0004-0000-0000-0000D1000000}"/>
    <hyperlink ref="L158" r:id="rId211" location="bib150" xr:uid="{00000000-0004-0000-0000-0000D2000000}"/>
    <hyperlink ref="M158" r:id="rId212" xr:uid="{00000000-0004-0000-0000-0000D3000000}"/>
    <hyperlink ref="L159" r:id="rId213" location="bib150" xr:uid="{00000000-0004-0000-0000-0000D4000000}"/>
    <hyperlink ref="L160" r:id="rId214" location="bib150" xr:uid="{00000000-0004-0000-0000-0000D5000000}"/>
    <hyperlink ref="M160" r:id="rId215" xr:uid="{00000000-0004-0000-0000-0000D6000000}"/>
    <hyperlink ref="L161" r:id="rId216" location="bib150" xr:uid="{00000000-0004-0000-0000-0000D7000000}"/>
    <hyperlink ref="M161" r:id="rId217" xr:uid="{00000000-0004-0000-0000-0000D8000000}"/>
    <hyperlink ref="L162" r:id="rId218" location="bib150" xr:uid="{00000000-0004-0000-0000-0000D9000000}"/>
    <hyperlink ref="M162" r:id="rId219" xr:uid="{00000000-0004-0000-0000-0000DA000000}"/>
    <hyperlink ref="L163" r:id="rId220" location="bib150" xr:uid="{00000000-0004-0000-0000-0000DB000000}"/>
    <hyperlink ref="M163" r:id="rId221" xr:uid="{00000000-0004-0000-0000-0000DC000000}"/>
    <hyperlink ref="L164" r:id="rId222" location="bib150" xr:uid="{00000000-0004-0000-0000-0000DD000000}"/>
    <hyperlink ref="M164" r:id="rId223" xr:uid="{00000000-0004-0000-0000-0000DE000000}"/>
    <hyperlink ref="L165" r:id="rId224" location="bib150" xr:uid="{00000000-0004-0000-0000-0000DF000000}"/>
    <hyperlink ref="L166" r:id="rId225" location="bib150" xr:uid="{00000000-0004-0000-0000-0000E0000000}"/>
    <hyperlink ref="M166" r:id="rId226" xr:uid="{00000000-0004-0000-0000-0000E1000000}"/>
    <hyperlink ref="L167" r:id="rId227" location="bib150" xr:uid="{00000000-0004-0000-0000-0000E2000000}"/>
    <hyperlink ref="M167" r:id="rId228" location=":~:text=The%20current%20work%20study%20the,transform%20infrared%20(FTIR)%20spectroscopy." xr:uid="{00000000-0004-0000-0000-0000E3000000}"/>
    <hyperlink ref="L168" r:id="rId229" location="bib150" xr:uid="{00000000-0004-0000-0000-0000E4000000}"/>
    <hyperlink ref="L169" r:id="rId230" location="bib150" xr:uid="{00000000-0004-0000-0000-0000E5000000}"/>
    <hyperlink ref="M169" r:id="rId231" xr:uid="{00000000-0004-0000-0000-0000E6000000}"/>
    <hyperlink ref="L170" r:id="rId232" location="bib150" xr:uid="{00000000-0004-0000-0000-0000E7000000}"/>
    <hyperlink ref="M170" r:id="rId233" xr:uid="{00000000-0004-0000-0000-0000E8000000}"/>
    <hyperlink ref="L171" r:id="rId234" location="bib150" xr:uid="{00000000-0004-0000-0000-0000E9000000}"/>
    <hyperlink ref="M171" r:id="rId235" xr:uid="{00000000-0004-0000-0000-0000EA000000}"/>
    <hyperlink ref="L172" r:id="rId236" location="bib150" xr:uid="{00000000-0004-0000-0000-0000EB000000}"/>
    <hyperlink ref="M172" r:id="rId237" xr:uid="{00000000-0004-0000-0000-0000EC000000}"/>
    <hyperlink ref="L173" r:id="rId238" location="bib150" xr:uid="{00000000-0004-0000-0000-0000ED000000}"/>
    <hyperlink ref="M173" r:id="rId239" xr:uid="{00000000-0004-0000-0000-0000EE000000}"/>
    <hyperlink ref="L174" r:id="rId240" location="bib150" xr:uid="{00000000-0004-0000-0000-0000EF000000}"/>
    <hyperlink ref="M174" r:id="rId241" xr:uid="{00000000-0004-0000-0000-0000F0000000}"/>
    <hyperlink ref="L175" r:id="rId242" location="bib150" xr:uid="{00000000-0004-0000-0000-0000F1000000}"/>
    <hyperlink ref="M175" r:id="rId243" xr:uid="{00000000-0004-0000-0000-0000F2000000}"/>
    <hyperlink ref="L176" r:id="rId244" location="bib150" xr:uid="{00000000-0004-0000-0000-0000F3000000}"/>
    <hyperlink ref="M176" r:id="rId245" xr:uid="{00000000-0004-0000-0000-0000F4000000}"/>
    <hyperlink ref="L177" r:id="rId246" location="bib150" xr:uid="{00000000-0004-0000-0000-0000F5000000}"/>
    <hyperlink ref="L178" r:id="rId247" location="bib150" xr:uid="{00000000-0004-0000-0000-0000F6000000}"/>
    <hyperlink ref="L179" r:id="rId248" location="bib150" xr:uid="{00000000-0004-0000-0000-0000F7000000}"/>
    <hyperlink ref="M179" r:id="rId249" xr:uid="{00000000-0004-0000-0000-0000F8000000}"/>
    <hyperlink ref="L180" r:id="rId250" location="bib150" xr:uid="{00000000-0004-0000-0000-0000F9000000}"/>
    <hyperlink ref="L181" r:id="rId251" xr:uid="{00000000-0004-0000-0000-0000FA000000}"/>
    <hyperlink ref="L182" r:id="rId252" xr:uid="{00000000-0004-0000-0000-0000FB000000}"/>
    <hyperlink ref="L183" r:id="rId253" xr:uid="{00000000-0004-0000-0000-0000FC000000}"/>
    <hyperlink ref="L184" r:id="rId254" xr:uid="{00000000-0004-0000-0000-0000FD000000}"/>
    <hyperlink ref="L185" r:id="rId255" xr:uid="{00000000-0004-0000-0000-0000FE000000}"/>
    <hyperlink ref="L186" r:id="rId256" xr:uid="{00000000-0004-0000-0000-0000FF000000}"/>
    <hyperlink ref="L187" r:id="rId257" xr:uid="{00000000-0004-0000-0000-000000010000}"/>
    <hyperlink ref="L188" r:id="rId258" xr:uid="{00000000-0004-0000-0000-000001010000}"/>
    <hyperlink ref="L189" r:id="rId259" xr:uid="{00000000-0004-0000-0000-000002010000}"/>
    <hyperlink ref="L190" r:id="rId260" xr:uid="{00000000-0004-0000-0000-000003010000}"/>
    <hyperlink ref="L191" r:id="rId261" xr:uid="{00000000-0004-0000-0000-000004010000}"/>
    <hyperlink ref="L192" r:id="rId262" xr:uid="{00000000-0004-0000-0000-000005010000}"/>
    <hyperlink ref="L193" r:id="rId263" xr:uid="{00000000-0004-0000-0000-000006010000}"/>
    <hyperlink ref="L194" r:id="rId264" xr:uid="{00000000-0004-0000-0000-000007010000}"/>
    <hyperlink ref="L195" r:id="rId265" xr:uid="{00000000-0004-0000-0000-000008010000}"/>
    <hyperlink ref="L196" r:id="rId266" xr:uid="{00000000-0004-0000-0000-000009010000}"/>
    <hyperlink ref="L197" r:id="rId267" xr:uid="{00000000-0004-0000-0000-00000A010000}"/>
    <hyperlink ref="L198" r:id="rId268" xr:uid="{00000000-0004-0000-0000-00000B010000}"/>
    <hyperlink ref="L199" r:id="rId269" xr:uid="{00000000-0004-0000-0000-00000C010000}"/>
    <hyperlink ref="L200" r:id="rId270" xr:uid="{00000000-0004-0000-0000-00000D010000}"/>
    <hyperlink ref="L201" r:id="rId271" xr:uid="{00000000-0004-0000-0000-00000E010000}"/>
    <hyperlink ref="L202" r:id="rId272" xr:uid="{00000000-0004-0000-0000-00000F010000}"/>
    <hyperlink ref="L203" r:id="rId273" xr:uid="{00000000-0004-0000-0000-000010010000}"/>
    <hyperlink ref="L204" r:id="rId274" xr:uid="{00000000-0004-0000-0000-000011010000}"/>
    <hyperlink ref="L205" r:id="rId275" xr:uid="{00000000-0004-0000-0000-000012010000}"/>
    <hyperlink ref="L206" r:id="rId276" xr:uid="{00000000-0004-0000-0000-000013010000}"/>
    <hyperlink ref="L207" r:id="rId277" xr:uid="{00000000-0004-0000-0000-000014010000}"/>
    <hyperlink ref="L208" r:id="rId278" xr:uid="{00000000-0004-0000-0000-000015010000}"/>
    <hyperlink ref="L209" r:id="rId279" xr:uid="{00000000-0004-0000-0000-000016010000}"/>
    <hyperlink ref="L210" r:id="rId280" xr:uid="{00000000-0004-0000-0000-000017010000}"/>
    <hyperlink ref="L211" r:id="rId281" xr:uid="{00000000-0004-0000-0000-000018010000}"/>
    <hyperlink ref="L212" r:id="rId282" xr:uid="{00000000-0004-0000-0000-000019010000}"/>
    <hyperlink ref="L213" r:id="rId283" xr:uid="{00000000-0004-0000-0000-00001A010000}"/>
    <hyperlink ref="L214" r:id="rId284" xr:uid="{00000000-0004-0000-0000-00001B010000}"/>
    <hyperlink ref="L215" r:id="rId285" xr:uid="{00000000-0004-0000-0000-00001C010000}"/>
    <hyperlink ref="L216" r:id="rId286" xr:uid="{00000000-0004-0000-0000-00001D010000}"/>
    <hyperlink ref="L217" r:id="rId287" xr:uid="{00000000-0004-0000-0000-00001E010000}"/>
    <hyperlink ref="L218" r:id="rId288" xr:uid="{00000000-0004-0000-0000-00001F010000}"/>
    <hyperlink ref="L219" r:id="rId289" xr:uid="{00000000-0004-0000-0000-000020010000}"/>
    <hyperlink ref="L220" r:id="rId290" location="bib30" xr:uid="{00000000-0004-0000-0000-000021010000}"/>
    <hyperlink ref="M220" r:id="rId291" xr:uid="{00000000-0004-0000-0000-000022010000}"/>
    <hyperlink ref="L221" r:id="rId292" location="bib48" xr:uid="{00000000-0004-0000-0000-000023010000}"/>
    <hyperlink ref="M221" r:id="rId293" xr:uid="{00000000-0004-0000-0000-000024010000}"/>
    <hyperlink ref="L222" r:id="rId294" location="bib140" xr:uid="{00000000-0004-0000-0000-000025010000}"/>
    <hyperlink ref="M222" r:id="rId295" xr:uid="{00000000-0004-0000-0000-000026010000}"/>
    <hyperlink ref="L223" r:id="rId296" location="bib115" xr:uid="{00000000-0004-0000-0000-000027010000}"/>
    <hyperlink ref="M223" r:id="rId297" xr:uid="{00000000-0004-0000-0000-000028010000}"/>
    <hyperlink ref="L224" r:id="rId298" location="bib139" xr:uid="{00000000-0004-0000-0000-000029010000}"/>
    <hyperlink ref="M224" r:id="rId299" xr:uid="{00000000-0004-0000-0000-00002A010000}"/>
    <hyperlink ref="L225" r:id="rId300" location="bib143" xr:uid="{00000000-0004-0000-0000-00002B010000}"/>
    <hyperlink ref="M225" r:id="rId301" xr:uid="{00000000-0004-0000-0000-00002C010000}"/>
    <hyperlink ref="L226" r:id="rId302" location="bib69" xr:uid="{00000000-0004-0000-0000-00002D010000}"/>
    <hyperlink ref="M226" r:id="rId303" xr:uid="{00000000-0004-0000-0000-00002E010000}"/>
    <hyperlink ref="L227" r:id="rId304" location="bib144" xr:uid="{00000000-0004-0000-0000-00002F010000}"/>
    <hyperlink ref="M227" r:id="rId305" xr:uid="{00000000-0004-0000-0000-000030010000}"/>
    <hyperlink ref="L228" r:id="rId306" location="bib87" xr:uid="{00000000-0004-0000-0000-000031010000}"/>
    <hyperlink ref="M228" r:id="rId307" xr:uid="{00000000-0004-0000-0000-000032010000}"/>
    <hyperlink ref="M229" r:id="rId308" xr:uid="{00000000-0004-0000-0000-000033010000}"/>
    <hyperlink ref="L230" r:id="rId309" location="bib125" xr:uid="{00000000-0004-0000-0000-000034010000}"/>
    <hyperlink ref="M230" r:id="rId310" xr:uid="{00000000-0004-0000-0000-000035010000}"/>
    <hyperlink ref="L231" r:id="rId311" location="bib57" xr:uid="{00000000-0004-0000-0000-000036010000}"/>
    <hyperlink ref="M231" r:id="rId312" xr:uid="{00000000-0004-0000-0000-000037010000}"/>
    <hyperlink ref="L232" r:id="rId313" location="bib84" xr:uid="{00000000-0004-0000-0000-000038010000}"/>
    <hyperlink ref="M232" r:id="rId314" xr:uid="{00000000-0004-0000-0000-000039010000}"/>
    <hyperlink ref="L233" r:id="rId315" location="bib68" xr:uid="{00000000-0004-0000-0000-00003A010000}"/>
    <hyperlink ref="M233" r:id="rId316" xr:uid="{00000000-0004-0000-0000-00003B010000}"/>
    <hyperlink ref="L234" r:id="rId317" location="bib12" xr:uid="{00000000-0004-0000-0000-00003C010000}"/>
    <hyperlink ref="M234" r:id="rId318" xr:uid="{00000000-0004-0000-0000-00003D010000}"/>
    <hyperlink ref="L235" r:id="rId319" location="bib128" xr:uid="{00000000-0004-0000-0000-00003E010000}"/>
    <hyperlink ref="M235" r:id="rId320" xr:uid="{00000000-0004-0000-0000-00003F010000}"/>
    <hyperlink ref="M236" r:id="rId321" xr:uid="{00000000-0004-0000-0000-000040010000}"/>
    <hyperlink ref="L237" r:id="rId322" location="bib55" xr:uid="{00000000-0004-0000-0000-000041010000}"/>
    <hyperlink ref="M237" r:id="rId323" xr:uid="{00000000-0004-0000-0000-000042010000}"/>
    <hyperlink ref="M238" r:id="rId324" xr:uid="{00000000-0004-0000-0000-000043010000}"/>
    <hyperlink ref="L239" r:id="rId325" location="bib56" xr:uid="{00000000-0004-0000-0000-000044010000}"/>
    <hyperlink ref="M239" r:id="rId326" xr:uid="{00000000-0004-0000-0000-000045010000}"/>
    <hyperlink ref="L240" r:id="rId327" location="bib100" xr:uid="{00000000-0004-0000-0000-000046010000}"/>
    <hyperlink ref="M240" r:id="rId328" xr:uid="{00000000-0004-0000-0000-000047010000}"/>
    <hyperlink ref="L241" r:id="rId329" location="bib146" xr:uid="{00000000-0004-0000-0000-000048010000}"/>
    <hyperlink ref="M241" r:id="rId330" xr:uid="{00000000-0004-0000-0000-000049010000}"/>
    <hyperlink ref="L242" r:id="rId331" location="bib71" xr:uid="{00000000-0004-0000-0000-00004A010000}"/>
    <hyperlink ref="M242" r:id="rId332" xr:uid="{00000000-0004-0000-0000-00004B010000}"/>
    <hyperlink ref="L243" r:id="rId333" location="bib21" xr:uid="{00000000-0004-0000-0000-00004C010000}"/>
    <hyperlink ref="M243" r:id="rId334" xr:uid="{00000000-0004-0000-0000-00004D010000}"/>
    <hyperlink ref="L244" r:id="rId335" location="bib127" xr:uid="{00000000-0004-0000-0000-00004E010000}"/>
    <hyperlink ref="M244" r:id="rId336" xr:uid="{00000000-0004-0000-0000-00004F010000}"/>
    <hyperlink ref="L245" r:id="rId337" location="bib148" xr:uid="{00000000-0004-0000-0000-000050010000}"/>
    <hyperlink ref="M245" r:id="rId338" xr:uid="{00000000-0004-0000-0000-000051010000}"/>
    <hyperlink ref="L246" r:id="rId339" location="bib25" xr:uid="{00000000-0004-0000-0000-000052010000}"/>
    <hyperlink ref="M246" r:id="rId340" xr:uid="{00000000-0004-0000-0000-000053010000}"/>
    <hyperlink ref="L247" r:id="rId341" location="bib134" xr:uid="{00000000-0004-0000-0000-000054010000}"/>
    <hyperlink ref="M247" r:id="rId342" xr:uid="{00000000-0004-0000-0000-000055010000}"/>
    <hyperlink ref="L248" r:id="rId343" location="bib137" xr:uid="{00000000-0004-0000-0000-000056010000}"/>
    <hyperlink ref="L249" r:id="rId344" location="bib91" xr:uid="{00000000-0004-0000-0000-000057010000}"/>
    <hyperlink ref="M249" r:id="rId345" xr:uid="{00000000-0004-0000-0000-000058010000}"/>
    <hyperlink ref="L250" r:id="rId346" location="bib46" xr:uid="{00000000-0004-0000-0000-000059010000}"/>
    <hyperlink ref="M250" r:id="rId347" xr:uid="{00000000-0004-0000-0000-00005A010000}"/>
    <hyperlink ref="L251" r:id="rId348" location="bib76" xr:uid="{00000000-0004-0000-0000-00005B010000}"/>
    <hyperlink ref="M251" r:id="rId349" xr:uid="{00000000-0004-0000-0000-00005C010000}"/>
    <hyperlink ref="L252" r:id="rId350" location="bib26" xr:uid="{00000000-0004-0000-0000-00005D010000}"/>
    <hyperlink ref="M252" r:id="rId351" xr:uid="{00000000-0004-0000-0000-00005E010000}"/>
    <hyperlink ref="M253" r:id="rId352" xr:uid="{00000000-0004-0000-0000-00005F010000}"/>
    <hyperlink ref="L254" r:id="rId353" location="bib8" xr:uid="{00000000-0004-0000-0000-000060010000}"/>
    <hyperlink ref="M254" r:id="rId354" xr:uid="{00000000-0004-0000-0000-000061010000}"/>
    <hyperlink ref="L255" r:id="rId355" location="bib75" xr:uid="{00000000-0004-0000-0000-000062010000}"/>
    <hyperlink ref="M255" r:id="rId356" xr:uid="{00000000-0004-0000-0000-000063010000}"/>
    <hyperlink ref="L256" r:id="rId357" location="bib90" xr:uid="{00000000-0004-0000-0000-000064010000}"/>
    <hyperlink ref="M256" r:id="rId358" xr:uid="{00000000-0004-0000-0000-000065010000}"/>
    <hyperlink ref="M257" r:id="rId359" xr:uid="{00000000-0004-0000-0000-000066010000}"/>
    <hyperlink ref="M258" r:id="rId360" xr:uid="{00000000-0004-0000-0000-000067010000}"/>
    <hyperlink ref="L259" r:id="rId361" location="bib116" xr:uid="{00000000-0004-0000-0000-000068010000}"/>
    <hyperlink ref="M259" r:id="rId362" xr:uid="{00000000-0004-0000-0000-000069010000}"/>
    <hyperlink ref="L260" r:id="rId363" location="bib116" xr:uid="{00000000-0004-0000-0000-00006A010000}"/>
    <hyperlink ref="M261" r:id="rId364" xr:uid="{00000000-0004-0000-0000-00006B010000}"/>
    <hyperlink ref="L262" r:id="rId365" location="bib47" xr:uid="{00000000-0004-0000-0000-00006C010000}"/>
    <hyperlink ref="M263" r:id="rId366" xr:uid="{00000000-0004-0000-0000-00006D010000}"/>
    <hyperlink ref="L264" r:id="rId367" location="bib41" xr:uid="{00000000-0004-0000-0000-00006E010000}"/>
    <hyperlink ref="M265" r:id="rId368" xr:uid="{00000000-0004-0000-0000-00006F010000}"/>
    <hyperlink ref="L266" r:id="rId369" location="bib121" xr:uid="{00000000-0004-0000-0000-000070010000}"/>
    <hyperlink ref="M267" r:id="rId370" xr:uid="{00000000-0004-0000-0000-000071010000}"/>
    <hyperlink ref="M269" r:id="rId371" xr:uid="{00000000-0004-0000-0000-000072010000}"/>
    <hyperlink ref="L271" r:id="rId372" location="bib85" xr:uid="{00000000-0004-0000-0000-000073010000}"/>
    <hyperlink ref="M271" r:id="rId373" xr:uid="{00000000-0004-0000-0000-000074010000}"/>
    <hyperlink ref="L272" r:id="rId374" location="bib85" xr:uid="{00000000-0004-0000-0000-000075010000}"/>
    <hyperlink ref="L273" r:id="rId375" location="bib61" xr:uid="{00000000-0004-0000-0000-000076010000}"/>
    <hyperlink ref="M273" r:id="rId376" xr:uid="{00000000-0004-0000-0000-000077010000}"/>
    <hyperlink ref="L274" r:id="rId377" location="bib61" xr:uid="{00000000-0004-0000-0000-000078010000}"/>
    <hyperlink ref="L275" r:id="rId378" location="bib124" xr:uid="{00000000-0004-0000-0000-000079010000}"/>
    <hyperlink ref="M275" r:id="rId379" xr:uid="{00000000-0004-0000-0000-00007A010000}"/>
    <hyperlink ref="L276" r:id="rId380" location="bib124" xr:uid="{00000000-0004-0000-0000-00007B010000}"/>
    <hyperlink ref="L277" r:id="rId381" location="bib95" xr:uid="{00000000-0004-0000-0000-00007C010000}"/>
    <hyperlink ref="M277" r:id="rId382" xr:uid="{00000000-0004-0000-0000-00007D010000}"/>
    <hyperlink ref="L278" r:id="rId383" location="bib95" xr:uid="{00000000-0004-0000-0000-00007E010000}"/>
    <hyperlink ref="L279" r:id="rId384" location="bib95" xr:uid="{00000000-0004-0000-0000-00007F010000}"/>
    <hyperlink ref="L280" r:id="rId385" location="bib5" xr:uid="{00000000-0004-0000-0000-000080010000}"/>
    <hyperlink ref="M280" r:id="rId386" xr:uid="{00000000-0004-0000-0000-000081010000}"/>
    <hyperlink ref="L281" r:id="rId387" location="bib5" xr:uid="{00000000-0004-0000-0000-000082010000}"/>
    <hyperlink ref="L282" r:id="rId388" location="bib5" xr:uid="{00000000-0004-0000-0000-000083010000}"/>
    <hyperlink ref="L283" r:id="rId389" location="bib5" xr:uid="{00000000-0004-0000-0000-000084010000}"/>
    <hyperlink ref="L284" r:id="rId390" location="bib73" xr:uid="{00000000-0004-0000-0000-000085010000}"/>
    <hyperlink ref="M284" r:id="rId391" xr:uid="{00000000-0004-0000-0000-000086010000}"/>
    <hyperlink ref="L285" r:id="rId392" location="bib73" xr:uid="{00000000-0004-0000-0000-000087010000}"/>
    <hyperlink ref="L286" r:id="rId393" location="bib73" xr:uid="{00000000-0004-0000-0000-000088010000}"/>
    <hyperlink ref="L287" r:id="rId394" location="bib93" xr:uid="{00000000-0004-0000-0000-000089010000}"/>
    <hyperlink ref="M287" r:id="rId395" xr:uid="{00000000-0004-0000-0000-00008A010000}"/>
    <hyperlink ref="L288" r:id="rId396" location="bib93" xr:uid="{00000000-0004-0000-0000-00008B010000}"/>
    <hyperlink ref="M288" r:id="rId397" xr:uid="{00000000-0004-0000-0000-00008C010000}"/>
    <hyperlink ref="L289" r:id="rId398" location="bib93" xr:uid="{00000000-0004-0000-0000-00008D010000}"/>
    <hyperlink ref="M289" r:id="rId399" xr:uid="{00000000-0004-0000-0000-00008E010000}"/>
    <hyperlink ref="M290" r:id="rId400" xr:uid="{00000000-0004-0000-0000-00008F010000}"/>
    <hyperlink ref="L291" r:id="rId401" location="bib45" xr:uid="{00000000-0004-0000-0000-000090010000}"/>
    <hyperlink ref="M291" r:id="rId402" xr:uid="{00000000-0004-0000-0000-000091010000}"/>
    <hyperlink ref="M296" r:id="rId403" xr:uid="{00000000-0004-0000-0000-000092010000}"/>
    <hyperlink ref="M297" r:id="rId404" xr:uid="{00000000-0004-0000-0000-000093010000}"/>
    <hyperlink ref="M309" r:id="rId405" xr:uid="{00000000-0004-0000-0000-000094010000}"/>
    <hyperlink ref="M320" r:id="rId406" xr:uid="{00000000-0004-0000-0000-000095010000}"/>
    <hyperlink ref="M321" r:id="rId407" xr:uid="{00000000-0004-0000-0000-000096010000}"/>
    <hyperlink ref="M322" r:id="rId408" xr:uid="{00000000-0004-0000-0000-000097010000}"/>
    <hyperlink ref="M323" r:id="rId409" xr:uid="{00000000-0004-0000-0000-000098010000}"/>
    <hyperlink ref="M324" r:id="rId410" xr:uid="{00000000-0004-0000-0000-000099010000}"/>
    <hyperlink ref="M325" r:id="rId411" xr:uid="{00000000-0004-0000-0000-00009A010000}"/>
    <hyperlink ref="M326" r:id="rId412" xr:uid="{00000000-0004-0000-0000-00009B010000}"/>
    <hyperlink ref="M327" r:id="rId413" xr:uid="{00000000-0004-0000-0000-00009C010000}"/>
    <hyperlink ref="M328" r:id="rId414" xr:uid="{00000000-0004-0000-0000-00009D010000}"/>
    <hyperlink ref="M329" r:id="rId415" xr:uid="{00000000-0004-0000-0000-00009E010000}"/>
    <hyperlink ref="M330" r:id="rId416" xr:uid="{00000000-0004-0000-0000-00009F010000}"/>
    <hyperlink ref="M331" r:id="rId417" xr:uid="{00000000-0004-0000-0000-0000A0010000}"/>
    <hyperlink ref="M332" r:id="rId418" xr:uid="{00000000-0004-0000-0000-0000A1010000}"/>
    <hyperlink ref="M333" r:id="rId419" xr:uid="{00000000-0004-0000-0000-0000A2010000}"/>
    <hyperlink ref="M334" r:id="rId420" xr:uid="{00000000-0004-0000-0000-0000A3010000}"/>
    <hyperlink ref="M335" r:id="rId421" xr:uid="{00000000-0004-0000-0000-0000A4010000}"/>
    <hyperlink ref="M336" r:id="rId422" xr:uid="{00000000-0004-0000-0000-0000A5010000}"/>
    <hyperlink ref="M337" r:id="rId423" xr:uid="{00000000-0004-0000-0000-0000A6010000}"/>
    <hyperlink ref="M338" r:id="rId424" xr:uid="{00000000-0004-0000-0000-0000A7010000}"/>
    <hyperlink ref="M339" r:id="rId425" xr:uid="{00000000-0004-0000-0000-0000A8010000}"/>
    <hyperlink ref="M363" r:id="rId426" xr:uid="{00000000-0004-0000-0000-0000A9010000}"/>
    <hyperlink ref="M364" r:id="rId427" xr:uid="{00000000-0004-0000-0000-0000AA010000}"/>
    <hyperlink ref="M365" r:id="rId428" xr:uid="{00000000-0004-0000-0000-0000AB010000}"/>
    <hyperlink ref="M366" r:id="rId429" xr:uid="{00000000-0004-0000-0000-0000AC010000}"/>
    <hyperlink ref="M367" r:id="rId430" xr:uid="{00000000-0004-0000-0000-0000AD010000}"/>
    <hyperlink ref="M368" r:id="rId431" xr:uid="{00000000-0004-0000-0000-0000AE010000}"/>
    <hyperlink ref="M369" r:id="rId432" xr:uid="{00000000-0004-0000-0000-0000AF010000}"/>
    <hyperlink ref="M370" r:id="rId433" xr:uid="{00000000-0004-0000-0000-0000B0010000}"/>
    <hyperlink ref="M371" r:id="rId434" xr:uid="{00000000-0004-0000-0000-0000B1010000}"/>
    <hyperlink ref="M372" r:id="rId435" xr:uid="{00000000-0004-0000-0000-0000B2010000}"/>
    <hyperlink ref="M373" r:id="rId436" xr:uid="{00000000-0004-0000-0000-0000B3010000}"/>
    <hyperlink ref="M374" r:id="rId437" xr:uid="{00000000-0004-0000-0000-0000B4010000}"/>
    <hyperlink ref="M375" r:id="rId438" xr:uid="{00000000-0004-0000-0000-0000B5010000}"/>
    <hyperlink ref="M376" r:id="rId439" xr:uid="{00000000-0004-0000-0000-0000B6010000}"/>
    <hyperlink ref="M377" r:id="rId440" xr:uid="{00000000-0004-0000-0000-0000B7010000}"/>
    <hyperlink ref="M425" r:id="rId441" xr:uid="{00000000-0004-0000-0000-0000B8010000}"/>
    <hyperlink ref="M426" r:id="rId442" xr:uid="{00000000-0004-0000-0000-0000B9010000}"/>
    <hyperlink ref="M427" r:id="rId443" xr:uid="{00000000-0004-0000-0000-0000BA010000}"/>
    <hyperlink ref="M428" r:id="rId444" xr:uid="{00000000-0004-0000-0000-0000BB010000}"/>
    <hyperlink ref="M429" r:id="rId445" xr:uid="{00000000-0004-0000-0000-0000BC010000}"/>
    <hyperlink ref="M430" r:id="rId446" xr:uid="{00000000-0004-0000-0000-0000BD010000}"/>
    <hyperlink ref="M431" r:id="rId447" xr:uid="{00000000-0004-0000-0000-0000BE010000}"/>
    <hyperlink ref="M432" r:id="rId448" xr:uid="{00000000-0004-0000-0000-0000BF010000}"/>
    <hyperlink ref="M433" r:id="rId449" xr:uid="{00000000-0004-0000-0000-0000C0010000}"/>
    <hyperlink ref="M434" r:id="rId450" xr:uid="{00000000-0004-0000-0000-0000C1010000}"/>
    <hyperlink ref="M435" r:id="rId451" xr:uid="{00000000-0004-0000-0000-0000C2010000}"/>
    <hyperlink ref="M436" r:id="rId452" xr:uid="{00000000-0004-0000-0000-0000C3010000}"/>
    <hyperlink ref="M437" r:id="rId453" xr:uid="{00000000-0004-0000-0000-0000C4010000}"/>
    <hyperlink ref="M438" r:id="rId454" xr:uid="{00000000-0004-0000-0000-0000C5010000}"/>
    <hyperlink ref="M439" r:id="rId455" xr:uid="{00000000-0004-0000-0000-0000C6010000}"/>
    <hyperlink ref="M440" r:id="rId456" xr:uid="{00000000-0004-0000-0000-0000C7010000}"/>
    <hyperlink ref="M441" r:id="rId457" xr:uid="{00000000-0004-0000-0000-0000C8010000}"/>
    <hyperlink ref="M442" r:id="rId458" xr:uid="{00000000-0004-0000-0000-0000C9010000}"/>
    <hyperlink ref="M443" r:id="rId459" xr:uid="{00000000-0004-0000-0000-0000CA010000}"/>
    <hyperlink ref="M444" r:id="rId460" xr:uid="{00000000-0004-0000-0000-0000CB010000}"/>
    <hyperlink ref="M445" r:id="rId461" xr:uid="{00000000-0004-0000-0000-0000CC010000}"/>
    <hyperlink ref="M446" r:id="rId462" xr:uid="{00000000-0004-0000-0000-0000CD010000}"/>
    <hyperlink ref="M447" r:id="rId463" xr:uid="{00000000-0004-0000-0000-0000CE010000}"/>
    <hyperlink ref="M448" r:id="rId464" xr:uid="{00000000-0004-0000-0000-0000CF010000}"/>
    <hyperlink ref="M449" r:id="rId465" xr:uid="{00000000-0004-0000-0000-0000D0010000}"/>
    <hyperlink ref="M450" r:id="rId466" xr:uid="{00000000-0004-0000-0000-0000D1010000}"/>
    <hyperlink ref="M451" r:id="rId467" xr:uid="{00000000-0004-0000-0000-0000D2010000}"/>
    <hyperlink ref="M452" r:id="rId468" xr:uid="{00000000-0004-0000-0000-0000D3010000}"/>
    <hyperlink ref="M453" r:id="rId469" xr:uid="{00000000-0004-0000-0000-0000D4010000}"/>
    <hyperlink ref="M454" r:id="rId470" xr:uid="{00000000-0004-0000-0000-0000D5010000}"/>
    <hyperlink ref="M455" r:id="rId471" xr:uid="{00000000-0004-0000-0000-0000D6010000}"/>
    <hyperlink ref="M456" r:id="rId472" xr:uid="{00000000-0004-0000-0000-0000D7010000}"/>
    <hyperlink ref="M457" r:id="rId473" xr:uid="{00000000-0004-0000-0000-0000D8010000}"/>
    <hyperlink ref="M458" r:id="rId474" xr:uid="{00000000-0004-0000-0000-0000D9010000}"/>
    <hyperlink ref="M459" r:id="rId475" xr:uid="{00000000-0004-0000-0000-0000DA010000}"/>
    <hyperlink ref="M460" r:id="rId476" xr:uid="{00000000-0004-0000-0000-0000DB010000}"/>
    <hyperlink ref="M461" r:id="rId477" xr:uid="{00000000-0004-0000-0000-0000DC010000}"/>
    <hyperlink ref="M462" r:id="rId478" xr:uid="{00000000-0004-0000-0000-0000DD010000}"/>
    <hyperlink ref="M463" r:id="rId479" xr:uid="{00000000-0004-0000-0000-0000DE010000}"/>
    <hyperlink ref="M464" r:id="rId480" xr:uid="{00000000-0004-0000-0000-0000DF010000}"/>
    <hyperlink ref="M465" r:id="rId481" xr:uid="{00000000-0004-0000-0000-0000E0010000}"/>
    <hyperlink ref="M466" r:id="rId482" xr:uid="{00000000-0004-0000-0000-0000E1010000}"/>
    <hyperlink ref="M467" r:id="rId483" xr:uid="{00000000-0004-0000-0000-0000E2010000}"/>
    <hyperlink ref="M468" r:id="rId484" xr:uid="{00000000-0004-0000-0000-0000E3010000}"/>
    <hyperlink ref="M469" r:id="rId485" xr:uid="{00000000-0004-0000-0000-0000E4010000}"/>
    <hyperlink ref="M470" r:id="rId486" xr:uid="{00000000-0004-0000-0000-0000E5010000}"/>
    <hyperlink ref="M471" r:id="rId487" xr:uid="{00000000-0004-0000-0000-0000E6010000}"/>
    <hyperlink ref="M472" r:id="rId488" xr:uid="{00000000-0004-0000-0000-0000E7010000}"/>
    <hyperlink ref="M473" r:id="rId489" xr:uid="{00000000-0004-0000-0000-0000E8010000}"/>
    <hyperlink ref="M474" r:id="rId490" xr:uid="{00000000-0004-0000-0000-0000E9010000}"/>
    <hyperlink ref="M475" r:id="rId491" xr:uid="{00000000-0004-0000-0000-0000EA010000}"/>
    <hyperlink ref="M476" r:id="rId492" xr:uid="{00000000-0004-0000-0000-0000EB010000}"/>
    <hyperlink ref="M477" r:id="rId493" xr:uid="{00000000-0004-0000-0000-0000EC010000}"/>
    <hyperlink ref="M478" r:id="rId494" xr:uid="{00000000-0004-0000-0000-0000ED010000}"/>
    <hyperlink ref="M479" r:id="rId495" xr:uid="{00000000-0004-0000-0000-0000EE010000}"/>
    <hyperlink ref="M480" r:id="rId496" xr:uid="{00000000-0004-0000-0000-0000EF010000}"/>
    <hyperlink ref="M481" r:id="rId497" xr:uid="{00000000-0004-0000-0000-0000F0010000}"/>
    <hyperlink ref="M482" r:id="rId498" xr:uid="{00000000-0004-0000-0000-0000F1010000}"/>
    <hyperlink ref="M483" r:id="rId499" xr:uid="{00000000-0004-0000-0000-0000F2010000}"/>
    <hyperlink ref="M484" r:id="rId500" xr:uid="{00000000-0004-0000-0000-0000F3010000}"/>
    <hyperlink ref="M485" r:id="rId501" xr:uid="{00000000-0004-0000-0000-0000F4010000}"/>
    <hyperlink ref="M486" r:id="rId502" xr:uid="{00000000-0004-0000-0000-0000F5010000}"/>
    <hyperlink ref="M487" r:id="rId503" xr:uid="{00000000-0004-0000-0000-0000F6010000}"/>
    <hyperlink ref="M488" r:id="rId504" xr:uid="{00000000-0004-0000-0000-0000F7010000}"/>
    <hyperlink ref="M489" r:id="rId505" xr:uid="{00000000-0004-0000-0000-0000F8010000}"/>
    <hyperlink ref="M490" r:id="rId506" xr:uid="{00000000-0004-0000-0000-0000F9010000}"/>
    <hyperlink ref="M491" r:id="rId507" xr:uid="{00000000-0004-0000-0000-0000FA010000}"/>
    <hyperlink ref="M492" r:id="rId508" xr:uid="{00000000-0004-0000-0000-0000FB010000}"/>
    <hyperlink ref="M493" r:id="rId509" xr:uid="{00000000-0004-0000-0000-0000FC010000}"/>
    <hyperlink ref="M494" r:id="rId510" xr:uid="{00000000-0004-0000-0000-0000FD010000}"/>
    <hyperlink ref="M495" r:id="rId511" xr:uid="{00000000-0004-0000-0000-0000FE010000}"/>
    <hyperlink ref="M496" r:id="rId512" xr:uid="{00000000-0004-0000-0000-0000FF010000}"/>
    <hyperlink ref="M509" r:id="rId513" xr:uid="{00000000-0004-0000-0000-000000020000}"/>
    <hyperlink ref="M514" r:id="rId514" xr:uid="{00000000-0004-0000-0000-000001020000}"/>
    <hyperlink ref="M539" r:id="rId515" xr:uid="{00000000-0004-0000-0000-000002020000}"/>
    <hyperlink ref="M558" r:id="rId516" xr:uid="{00000000-0004-0000-0000-000003020000}"/>
    <hyperlink ref="M560" r:id="rId517" xr:uid="{00000000-0004-0000-0000-000004020000}"/>
    <hyperlink ref="M562" r:id="rId518" xr:uid="{00000000-0004-0000-0000-000005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Yash Bisht</cp:lastModifiedBy>
  <dcterms:modified xsi:type="dcterms:W3CDTF">2025-12-16T14:18:15Z</dcterms:modified>
</cp:coreProperties>
</file>